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ster_Map" sheetId="2" state="visible" r:id="rId2"/>
    <sheet xmlns:r="http://schemas.openxmlformats.org/officeDocument/2006/relationships" name="Examples" sheetId="3" state="visible" r:id="rId3"/>
  </sheets>
  <definedNames>
    <definedName name="_xlnm._FilterDatabase" localSheetId="1" hidden="1">'Register_Map'!$A$1:$M$18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49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49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49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AGC_EMU</author>
  </authors>
  <commentList>
    <comment ref="B3" authorId="0" shapeId="0">
      <text>
        <t>Base address of design_1/system_reg_map (SEG_system_reg_map_reg0)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PJ22045_1R8T System Register Map v0.1 (design_1 / system_reg_map, shared by all channels)</t>
        </is>
      </c>
    </row>
    <row r="2">
      <c r="A2" s="2" t="n"/>
    </row>
    <row r="3">
      <c r="A3" s="2" t="inlineStr">
        <is>
          <t>Base address (hex)</t>
        </is>
      </c>
      <c r="B3" s="3" t="inlineStr">
        <is>
          <t>A0098000</t>
        </is>
      </c>
    </row>
    <row r="4">
      <c r="A4" s="2" t="inlineStr">
        <is>
          <t>AXI-Lite range</t>
        </is>
      </c>
      <c r="B4" s="4" t="inlineStr">
        <is>
          <t>4 KB window (Address Editor), 64 x 32-bit registers (sys0~63), 8-bit address</t>
        </is>
      </c>
    </row>
    <row r="5">
      <c r="A5" s="2" t="inlineStr">
        <is>
          <t>Clock</t>
        </is>
      </c>
      <c r="B5" s="4" t="inlineStr">
        <is>
          <t>S_AXI_ACLK = pl_clk0 (100 MHz)</t>
        </is>
      </c>
    </row>
    <row r="6">
      <c r="A6" s="2" t="inlineStr">
        <is>
          <t>Version</t>
        </is>
      </c>
      <c r="B6" s="4" t="inlineStr">
        <is>
          <t>v0.1 (2026-10-15, PJ22045_1R8T build 02): register definition = Calibration_Gain_Control Reg_map_emu_sys_v0.1; only the base address differs.</t>
        </is>
      </c>
    </row>
    <row r="7">
      <c r="A7" s="2" t="inlineStr">
        <is>
          <t>Connection</t>
        </is>
      </c>
      <c r="B7" s="4" t="inlineStr">
        <is>
          <t>sysN -&gt; net reg_&lt;register name&gt; -&gt; cal_plus_gain_control_ch1~ch8 pin reg_&lt;register name&gt; (same value for all 8 channels)</t>
        </is>
      </c>
    </row>
    <row r="8">
      <c r="A8" s="2" t="inlineStr">
        <is>
          <t>Source</t>
        </is>
      </c>
      <c r="B8" s="4" t="inlineStr">
        <is>
          <t>docs/02_RFSoC_TX/tools/regmap_def.py -&gt; docs/02_RFSoC_TX/tools/mk_regmap_v8.py (this file)</t>
        </is>
      </c>
    </row>
    <row r="9">
      <c r="A9" s="2" t="n"/>
    </row>
    <row r="10">
      <c r="A10" s="5" t="inlineStr">
        <is>
          <t>Notes</t>
        </is>
      </c>
    </row>
    <row r="11">
      <c r="A11" s="2" t="inlineStr">
        <is>
          <t>1</t>
        </is>
      </c>
      <c r="B11" s="4" t="inlineStr">
        <is>
          <t>Non-zero reset: power_limit_margin = 3, cw_mode_goal_dbfs = 0x7A0 (-6.0 dBFS), pulse_update_stable_cycle = 4, digital_apply_delay = 35, agc_sr_update_period = 50, agc_mode_settle_cycle = 64, agc_rx_watch / wait_dsa / set_dsa / wait / set_clear / wait_clear = 1000 / 6 / 6 / 50 / 6 / 16.</t>
        </is>
      </c>
    </row>
    <row r="12">
      <c r="A12" s="2" t="inlineStr">
        <is>
          <t>2</t>
        </is>
      </c>
      <c r="B12" s="4" t="inlineStr">
        <is>
          <t>AGC cycle registers: a value below the hardware minimum is used as the minimum (read-back returns the written value).</t>
        </is>
      </c>
    </row>
    <row r="13">
      <c r="A13" s="2" t="inlineStr">
        <is>
          <t>3</t>
        </is>
      </c>
      <c r="B13" s="4" t="inlineStr">
        <is>
          <t>Pulse auto update: pulse_avg_amp / pulse_papr (BD inputs, per channel) are latched together after they stay unchanged for pulse_update_stable_cycle clk; one Power Fit result (pf + goal_rel) is sent per update. t0 -&gt; pf / goal_rel = M + 7 clk.</t>
        </is>
      </c>
    </row>
    <row r="14">
      <c r="A14" s="2" t="inlineStr">
        <is>
          <t>4</t>
        </is>
      </c>
      <c r="B14" s="4" t="inlineStr">
        <is>
          <t>build_version (sys14) is read-only; PJ22045_1R8T build 02 = 0 (BUILD_VERSION parameter not set yet).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0" customWidth="1" min="4" max="4"/>
    <col width="8" customWidth="1" min="5" max="5"/>
    <col width="6" customWidth="1" min="6" max="6"/>
    <col width="14" customWidth="1" min="7" max="7"/>
    <col width="26" customWidth="1" min="8" max="8"/>
    <col width="30" customWidth="1" min="9" max="9"/>
    <col width="64" customWidth="1" min="10" max="10"/>
    <col width="18" customWidth="1" min="11" max="11"/>
    <col width="36" customWidth="1" min="12" max="12"/>
    <col width="11" customWidth="1" min="13" max="13"/>
  </cols>
  <sheetData>
    <row r="1">
      <c r="A1" s="6" t="inlineStr">
        <is>
          <t>Index</t>
        </is>
      </c>
      <c r="B1" s="6" t="inlineStr">
        <is>
          <t>Offset (hex)</t>
        </is>
      </c>
      <c r="C1" s="6" t="inlineStr">
        <is>
          <t>Address</t>
        </is>
      </c>
      <c r="D1" s="6" t="inlineStr">
        <is>
          <t>Register Name</t>
        </is>
      </c>
      <c r="E1" s="6" t="inlineStr">
        <is>
          <t>Bits</t>
        </is>
      </c>
      <c r="F1" s="6" t="inlineStr">
        <is>
          <t>R/W</t>
        </is>
      </c>
      <c r="G1" s="6" t="inlineStr">
        <is>
          <t>Reset (hex)</t>
        </is>
      </c>
      <c r="H1" s="6" t="inlineStr">
        <is>
          <t>Format / Unit</t>
        </is>
      </c>
      <c r="I1" s="6" t="inlineStr">
        <is>
          <t>Range / Values</t>
        </is>
      </c>
      <c r="J1" s="6" t="inlineStr">
        <is>
          <t>Description</t>
        </is>
      </c>
      <c r="K1" s="6" t="inlineStr">
        <is>
          <t>Takes effect</t>
        </is>
      </c>
      <c r="L1" s="6" t="inlineStr">
        <is>
          <t>Used by (BD)</t>
        </is>
      </c>
      <c r="M1" s="6" t="inlineStr">
        <is>
          <t>Group</t>
        </is>
      </c>
    </row>
    <row r="2">
      <c r="A2" s="7" t="inlineStr">
        <is>
          <t>sys0</t>
        </is>
      </c>
      <c r="B2" s="8" t="inlineStr">
        <is>
          <t>000</t>
        </is>
      </c>
      <c r="C2" s="7">
        <f>"0x"&amp;DEC2HEX(HEX2DEC(Summary!$B$3)+0,8)</f>
        <v/>
      </c>
      <c r="D2" s="9" t="inlineStr">
        <is>
          <t>signal_mode_select</t>
        </is>
      </c>
      <c r="E2" s="7" t="inlineStr">
        <is>
          <t>[0]</t>
        </is>
      </c>
      <c r="F2" s="7" t="inlineStr">
        <is>
          <t>R/W</t>
        </is>
      </c>
      <c r="G2" s="8" t="inlineStr">
        <is>
          <t>0</t>
        </is>
      </c>
      <c r="H2" s="9" t="inlineStr">
        <is>
          <t>bit</t>
        </is>
      </c>
      <c r="I2" s="9" t="inlineStr">
        <is>
          <t>0: CW, 1: Pulse</t>
        </is>
      </c>
      <c r="J2" s="9" t="inlineStr">
        <is>
          <t>Power Fit input / goal: CW = cw_power_calc + cw_mode_goal_dbfs; Pulse = pulse_avg_amp + goal -(margin + PAPR), auto update</t>
        </is>
      </c>
      <c r="K2" s="9" t="inlineStr">
        <is>
          <t>Real-time (CDC)</t>
        </is>
      </c>
      <c r="L2" s="9" t="inlineStr">
        <is>
          <t>chN/cal_cdc_0 -&gt; power_fit_top/power_fit_db_0</t>
        </is>
      </c>
      <c r="M2" s="7" t="inlineStr">
        <is>
          <t>Power Fit</t>
        </is>
      </c>
    </row>
    <row r="3">
      <c r="A3" s="7" t="inlineStr">
        <is>
          <t>sys1</t>
        </is>
      </c>
      <c r="B3" s="8" t="inlineStr">
        <is>
          <t>004</t>
        </is>
      </c>
      <c r="C3" s="7">
        <f>"0x"&amp;DEC2HEX(HEX2DEC(Summary!$B$3)+4,8)</f>
        <v/>
      </c>
      <c r="D3" s="9" t="inlineStr">
        <is>
          <t>power_limit_margin</t>
        </is>
      </c>
      <c r="E3" s="7" t="inlineStr">
        <is>
          <t>[2:0]</t>
        </is>
      </c>
      <c r="F3" s="7" t="inlineStr">
        <is>
          <t>R/W</t>
        </is>
      </c>
      <c r="G3" s="8" t="inlineStr">
        <is>
          <t>3</t>
        </is>
      </c>
      <c r="H3" s="9" t="inlineStr">
        <is>
          <t>U3.0 dB</t>
        </is>
      </c>
      <c r="I3" s="9" t="inlineStr">
        <is>
          <t>0 ~ 7 dB</t>
        </is>
      </c>
      <c r="J3" s="9" t="inlineStr">
        <is>
          <t>Power limit = -margin dBFS. CW goal = min(cw_mode_goal_dbfs, -margin); Pulse goal = -(margin + PAPR)</t>
        </is>
      </c>
      <c r="K3" s="9" t="inlineStr">
        <is>
          <t>Real-time (CDC)</t>
        </is>
      </c>
      <c r="L3" s="9" t="inlineStr">
        <is>
          <t>chN/cal_cdc_0 -&gt; power_fit_top/power_fit_db_0</t>
        </is>
      </c>
      <c r="M3" s="7" t="inlineStr">
        <is>
          <t>Power Fit</t>
        </is>
      </c>
    </row>
    <row r="4">
      <c r="A4" s="7" t="inlineStr">
        <is>
          <t>sys2</t>
        </is>
      </c>
      <c r="B4" s="8" t="inlineStr">
        <is>
          <t>008</t>
        </is>
      </c>
      <c r="C4" s="7">
        <f>"0x"&amp;DEC2HEX(HEX2DEC(Summary!$B$3)+8,8)</f>
        <v/>
      </c>
      <c r="D4" s="9" t="inlineStr">
        <is>
          <t>cw_mode_goal_dbfs</t>
        </is>
      </c>
      <c r="E4" s="7" t="inlineStr">
        <is>
          <t>[10:0]</t>
        </is>
      </c>
      <c r="F4" s="7" t="inlineStr">
        <is>
          <t>R/W</t>
        </is>
      </c>
      <c r="G4" s="8" t="inlineStr">
        <is>
          <t>7A0 (-6)</t>
        </is>
      </c>
      <c r="H4" s="9" t="inlineStr">
        <is>
          <t>S6.4 dBFS (16384 = 0 dBFS)</t>
        </is>
      </c>
      <c r="I4" s="9" t="inlineStr">
        <is>
          <t>-64 ~ 0 dB (HW: &lt;= -margin)</t>
        </is>
      </c>
      <c r="J4" s="9" t="inlineStr">
        <is>
          <t>CW mode Power Fit goal (e.g. 0x7A0 = -6.0 dBFS ~ amplitude 8211)</t>
        </is>
      </c>
      <c r="K4" s="9" t="inlineStr">
        <is>
          <t>Real-time (CDC)</t>
        </is>
      </c>
      <c r="L4" s="9" t="inlineStr">
        <is>
          <t>chN/cal_cdc_0 -&gt; power_fit_top/power_fit_db_0</t>
        </is>
      </c>
      <c r="M4" s="7" t="inlineStr">
        <is>
          <t>Power Fit</t>
        </is>
      </c>
    </row>
    <row r="5">
      <c r="A5" s="7" t="inlineStr">
        <is>
          <t>sys3</t>
        </is>
      </c>
      <c r="B5" s="8" t="inlineStr">
        <is>
          <t>00C</t>
        </is>
      </c>
      <c r="C5" s="7">
        <f>"0x"&amp;DEC2HEX(HEX2DEC(Summary!$B$3)+12,8)</f>
        <v/>
      </c>
      <c r="D5" s="9" t="inlineStr">
        <is>
          <t>pulse_update_stable_cycle</t>
        </is>
      </c>
      <c r="E5" s="7" t="inlineStr">
        <is>
          <t>[3:0]</t>
        </is>
      </c>
      <c r="F5" s="7" t="inlineStr">
        <is>
          <t>R/W</t>
        </is>
      </c>
      <c r="G5" s="8" t="inlineStr">
        <is>
          <t>4</t>
        </is>
      </c>
      <c r="H5" s="9" t="inlineStr">
        <is>
          <t>unsigned, clk (3.906 ns)</t>
        </is>
      </c>
      <c r="I5" s="9" t="inlineStr">
        <is>
          <t>0 ~ 15</t>
        </is>
      </c>
      <c r="J5" s="9" t="inlineStr">
        <is>
          <t>Pulse auto update: pulse_avg_amp / pulse_papr must stay unchanged M clk after a change before they are latched together and one Power Fit result (pf + goal_rel) is sent</t>
        </is>
      </c>
      <c r="K5" s="9" t="inlineStr">
        <is>
          <t>Real-time (CDC)</t>
        </is>
      </c>
      <c r="L5" s="9" t="inlineStr">
        <is>
          <t>chN/cal_cdc_0 -&gt; power_fit_top/power_fit_db_0</t>
        </is>
      </c>
      <c r="M5" s="7" t="inlineStr">
        <is>
          <t>Power Fit</t>
        </is>
      </c>
    </row>
    <row r="6">
      <c r="A6" s="10" t="inlineStr">
        <is>
          <t>sys4</t>
        </is>
      </c>
      <c r="B6" s="11" t="inlineStr">
        <is>
          <t>010</t>
        </is>
      </c>
      <c r="C6" s="10">
        <f>"0x"&amp;DEC2HEX(HEX2DEC(Summary!$B$3)+16,8)</f>
        <v/>
      </c>
      <c r="D6" s="12" t="inlineStr">
        <is>
          <t>agc_tx_power_mode</t>
        </is>
      </c>
      <c r="E6" s="10" t="inlineStr">
        <is>
          <t>[0]</t>
        </is>
      </c>
      <c r="F6" s="10" t="inlineStr">
        <is>
          <t>R/W</t>
        </is>
      </c>
      <c r="G6" s="11" t="inlineStr">
        <is>
          <t>0</t>
        </is>
      </c>
      <c r="H6" s="12" t="inlineStr">
        <is>
          <t>bit</t>
        </is>
      </c>
      <c r="I6" s="12" t="inlineStr">
        <is>
          <t>0: Linear, 1: Manual</t>
        </is>
      </c>
      <c r="J6" s="12" t="inlineStr">
        <is>
          <t>TXAGC target T. Linear: 96.5625 + linear_mode_offset - rx_att_index x 10 + pf - offsets + algo; Manual: dac_output_ref_dbm + goal_rel_db + 50 - target_power + manual_mode_offset - offsets + algo (dB)</t>
        </is>
      </c>
      <c r="K6" s="12" t="inlineStr">
        <is>
          <t>Real-time</t>
        </is>
      </c>
      <c r="L6" s="12" t="inlineStr">
        <is>
          <t>chN/agc_emu/agc_cdc_0 -&gt; txagc_0</t>
        </is>
      </c>
      <c r="M6" s="10" t="inlineStr">
        <is>
          <t>AGC_EMU</t>
        </is>
      </c>
    </row>
    <row r="7">
      <c r="A7" s="10" t="inlineStr">
        <is>
          <t>sys5</t>
        </is>
      </c>
      <c r="B7" s="11" t="inlineStr">
        <is>
          <t>014</t>
        </is>
      </c>
      <c r="C7" s="10">
        <f>"0x"&amp;DEC2HEX(HEX2DEC(Summary!$B$3)+20,8)</f>
        <v/>
      </c>
      <c r="D7" s="12" t="inlineStr">
        <is>
          <t>digital_apply_delay</t>
        </is>
      </c>
      <c r="E7" s="10" t="inlineStr">
        <is>
          <t>[7:0]</t>
        </is>
      </c>
      <c r="F7" s="10" t="inlineStr">
        <is>
          <t>R/W</t>
        </is>
      </c>
      <c r="G7" s="11" t="inlineStr">
        <is>
          <t>23</t>
        </is>
      </c>
      <c r="H7" s="12" t="inlineStr">
        <is>
          <t>unsigned, adc_clk (4.167 ns)</t>
        </is>
      </c>
      <c r="I7" s="12" t="inlineStr">
        <is>
          <t>0 ~ 255 (&lt; agc_sr_update_period)</t>
        </is>
      </c>
      <c r="J7" s="12" t="inlineStr">
        <is>
          <t>Digital gain index applied N clk after the Reg1~4 SR start (35 = RCLK)</t>
        </is>
      </c>
      <c r="K7" s="12" t="inlineStr">
        <is>
          <t>Next analog step</t>
        </is>
      </c>
      <c r="L7" s="12" t="inlineStr">
        <is>
          <t>chN/agc_emu/agc_cdc_0 -&gt; gain_apply_sync_0</t>
        </is>
      </c>
      <c r="M7" s="10" t="inlineStr">
        <is>
          <t>AGC_EMU</t>
        </is>
      </c>
    </row>
    <row r="8">
      <c r="A8" s="10" t="inlineStr">
        <is>
          <t>sys6</t>
        </is>
      </c>
      <c r="B8" s="11" t="inlineStr">
        <is>
          <t>018</t>
        </is>
      </c>
      <c r="C8" s="10">
        <f>"0x"&amp;DEC2HEX(HEX2DEC(Summary!$B$3)+24,8)</f>
        <v/>
      </c>
      <c r="D8" s="12" t="inlineStr">
        <is>
          <t>agc_sr_update_period</t>
        </is>
      </c>
      <c r="E8" s="10" t="inlineStr">
        <is>
          <t>[7:0]</t>
        </is>
      </c>
      <c r="F8" s="10" t="inlineStr">
        <is>
          <t>R/W</t>
        </is>
      </c>
      <c r="G8" s="11" t="inlineStr">
        <is>
          <t>32</t>
        </is>
      </c>
      <c r="H8" s="12" t="inlineStr">
        <is>
          <t>unsigned, adc_clk</t>
        </is>
      </c>
      <c r="I8" s="12" t="inlineStr">
        <is>
          <t>HW min 50, max 255 (208 ns ~ 1.06 us)</t>
        </is>
      </c>
      <c r="J8" s="12" t="inlineStr">
        <is>
          <t>Shift register update round (SER transfer ~37 clk + hardware settling); shared by Reg1~4 and Reg5</t>
        </is>
      </c>
      <c r="K8" s="12" t="inlineStr">
        <is>
          <t>Next round</t>
        </is>
      </c>
      <c r="L8" s="12" t="inlineStr">
        <is>
          <t>chN/agc_emu/agc_cdc_0 -&gt; sr_att_group / sr_reg5_group</t>
        </is>
      </c>
      <c r="M8" s="10" t="inlineStr">
        <is>
          <t>AGC_EMU</t>
        </is>
      </c>
    </row>
    <row r="9">
      <c r="A9" s="10" t="inlineStr">
        <is>
          <t>sys7</t>
        </is>
      </c>
      <c r="B9" s="11" t="inlineStr">
        <is>
          <t>01C</t>
        </is>
      </c>
      <c r="C9" s="10">
        <f>"0x"&amp;DEC2HEX(HEX2DEC(Summary!$B$3)+28,8)</f>
        <v/>
      </c>
      <c r="D9" s="12" t="inlineStr">
        <is>
          <t>agc_mode_settle_cycle</t>
        </is>
      </c>
      <c r="E9" s="10" t="inlineStr">
        <is>
          <t>[15:0]</t>
        </is>
      </c>
      <c r="F9" s="10" t="inlineStr">
        <is>
          <t>R/W</t>
        </is>
      </c>
      <c r="G9" s="11" t="inlineStr">
        <is>
          <t>40</t>
        </is>
      </c>
      <c r="H9" s="12" t="inlineStr">
        <is>
          <t>unsigned, adc_clk</t>
        </is>
      </c>
      <c r="I9" s="12" t="inlineStr">
        <is>
          <t>HW min 1</t>
        </is>
      </c>
      <c r="J9" s="12" t="inlineStr">
        <is>
          <t>Wait after Reg5 transfer before AGC switches RX/TX</t>
        </is>
      </c>
      <c r="K9" s="12" t="inlineStr">
        <is>
          <t>Real-time</t>
        </is>
      </c>
      <c r="L9" s="12" t="inlineStr">
        <is>
          <t>chN/agc_emu/agc_cdc_0 -&gt; agc_mode_ctrl_0</t>
        </is>
      </c>
      <c r="M9" s="10" t="inlineStr">
        <is>
          <t>AGC_EMU</t>
        </is>
      </c>
    </row>
    <row r="10">
      <c r="A10" s="10" t="inlineStr">
        <is>
          <t>sys8</t>
        </is>
      </c>
      <c r="B10" s="11" t="inlineStr">
        <is>
          <t>020</t>
        </is>
      </c>
      <c r="C10" s="10">
        <f>"0x"&amp;DEC2HEX(HEX2DEC(Summary!$B$3)+32,8)</f>
        <v/>
      </c>
      <c r="D10" s="12" t="inlineStr">
        <is>
          <t>agc_rx_watch_cycle</t>
        </is>
      </c>
      <c r="E10" s="10" t="inlineStr">
        <is>
          <t>[31:0]</t>
        </is>
      </c>
      <c r="F10" s="10" t="inlineStr">
        <is>
          <t>R/W</t>
        </is>
      </c>
      <c r="G10" s="11" t="inlineStr">
        <is>
          <t>3E8</t>
        </is>
      </c>
      <c r="H10" s="12" t="inlineStr">
        <is>
          <t>unsigned, adc_clk</t>
        </is>
      </c>
      <c r="I10" s="12" t="inlineStr">
        <is>
          <t>HW min 1</t>
        </is>
      </c>
      <c r="J10" s="12" t="inlineStr">
        <is>
          <t>RXAGC S_WATCHING time (no signal -&gt; back to 0 dB); set by PRI</t>
        </is>
      </c>
      <c r="K10" s="12" t="inlineStr">
        <is>
          <t>Real-time</t>
        </is>
      </c>
      <c r="L10" s="12" t="inlineStr">
        <is>
          <t>chN/agc_emu/agc_cdc_0 -&gt; rxagc_0</t>
        </is>
      </c>
      <c r="M10" s="10" t="inlineStr">
        <is>
          <t>AGC_EMU</t>
        </is>
      </c>
    </row>
    <row r="11">
      <c r="A11" s="10" t="inlineStr">
        <is>
          <t>sys9</t>
        </is>
      </c>
      <c r="B11" s="11" t="inlineStr">
        <is>
          <t>024</t>
        </is>
      </c>
      <c r="C11" s="10">
        <f>"0x"&amp;DEC2HEX(HEX2DEC(Summary!$B$3)+36,8)</f>
        <v/>
      </c>
      <c r="D11" s="12" t="inlineStr">
        <is>
          <t>agc_rx_wait_dsa_cycle</t>
        </is>
      </c>
      <c r="E11" s="10" t="inlineStr">
        <is>
          <t>[7:0]</t>
        </is>
      </c>
      <c r="F11" s="10" t="inlineStr">
        <is>
          <t>R/W</t>
        </is>
      </c>
      <c r="G11" s="11" t="inlineStr">
        <is>
          <t>6</t>
        </is>
      </c>
      <c r="H11" s="12" t="inlineStr">
        <is>
          <t>unsigned, adc_clk</t>
        </is>
      </c>
      <c r="I11" s="12" t="inlineStr">
        <is>
          <t>HW min 1</t>
        </is>
      </c>
      <c r="J11" s="12" t="inlineStr">
        <is>
          <t>RXAGC S_WAIT_DSA</t>
        </is>
      </c>
      <c r="K11" s="12" t="inlineStr">
        <is>
          <t>Real-time</t>
        </is>
      </c>
      <c r="L11" s="12" t="inlineStr">
        <is>
          <t>chN/agc_emu/agc_cdc_0 -&gt; rxagc_0</t>
        </is>
      </c>
      <c r="M11" s="10" t="inlineStr">
        <is>
          <t>AGC_EMU</t>
        </is>
      </c>
    </row>
    <row r="12">
      <c r="A12" s="10" t="inlineStr">
        <is>
          <t>sys10</t>
        </is>
      </c>
      <c r="B12" s="11" t="inlineStr">
        <is>
          <t>028</t>
        </is>
      </c>
      <c r="C12" s="10">
        <f>"0x"&amp;DEC2HEX(HEX2DEC(Summary!$B$3)+40,8)</f>
        <v/>
      </c>
      <c r="D12" s="12" t="inlineStr">
        <is>
          <t>agc_rx_set_dsa_cycle</t>
        </is>
      </c>
      <c r="E12" s="10" t="inlineStr">
        <is>
          <t>[7:0]</t>
        </is>
      </c>
      <c r="F12" s="10" t="inlineStr">
        <is>
          <t>R/W</t>
        </is>
      </c>
      <c r="G12" s="11" t="inlineStr">
        <is>
          <t>6</t>
        </is>
      </c>
      <c r="H12" s="12" t="inlineStr">
        <is>
          <t>unsigned, adc_clk</t>
        </is>
      </c>
      <c r="I12" s="12" t="inlineStr">
        <is>
          <t>HW min 1</t>
        </is>
      </c>
      <c r="J12" s="12" t="inlineStr">
        <is>
          <t>RXAGC S_SET_DSA</t>
        </is>
      </c>
      <c r="K12" s="12" t="inlineStr">
        <is>
          <t>Real-time</t>
        </is>
      </c>
      <c r="L12" s="12" t="inlineStr">
        <is>
          <t>chN/agc_emu/agc_cdc_0 -&gt; rxagc_0</t>
        </is>
      </c>
      <c r="M12" s="10" t="inlineStr">
        <is>
          <t>AGC_EMU</t>
        </is>
      </c>
    </row>
    <row r="13">
      <c r="A13" s="10" t="inlineStr">
        <is>
          <t>sys11</t>
        </is>
      </c>
      <c r="B13" s="11" t="inlineStr">
        <is>
          <t>02C</t>
        </is>
      </c>
      <c r="C13" s="10">
        <f>"0x"&amp;DEC2HEX(HEX2DEC(Summary!$B$3)+44,8)</f>
        <v/>
      </c>
      <c r="D13" s="12" t="inlineStr">
        <is>
          <t>agc_rx_wait_cycle</t>
        </is>
      </c>
      <c r="E13" s="10" t="inlineStr">
        <is>
          <t>[7:0]</t>
        </is>
      </c>
      <c r="F13" s="10" t="inlineStr">
        <is>
          <t>R/W</t>
        </is>
      </c>
      <c r="G13" s="11" t="inlineStr">
        <is>
          <t>32</t>
        </is>
      </c>
      <c r="H13" s="12" t="inlineStr">
        <is>
          <t>unsigned, adc_clk</t>
        </is>
      </c>
      <c r="I13" s="12" t="inlineStr">
        <is>
          <t>HW min 1</t>
        </is>
      </c>
      <c r="J13" s="12" t="inlineStr">
        <is>
          <t>RXAGC S_WAIT (RF settling before flag clear)</t>
        </is>
      </c>
      <c r="K13" s="12" t="inlineStr">
        <is>
          <t>Real-time</t>
        </is>
      </c>
      <c r="L13" s="12" t="inlineStr">
        <is>
          <t>chN/agc_emu/agc_cdc_0 -&gt; rxagc_0</t>
        </is>
      </c>
      <c r="M13" s="10" t="inlineStr">
        <is>
          <t>AGC_EMU</t>
        </is>
      </c>
    </row>
    <row r="14">
      <c r="A14" s="10" t="inlineStr">
        <is>
          <t>sys12</t>
        </is>
      </c>
      <c r="B14" s="11" t="inlineStr">
        <is>
          <t>030</t>
        </is>
      </c>
      <c r="C14" s="10">
        <f>"0x"&amp;DEC2HEX(HEX2DEC(Summary!$B$3)+48,8)</f>
        <v/>
      </c>
      <c r="D14" s="12" t="inlineStr">
        <is>
          <t>agc_rx_set_clear_cycle</t>
        </is>
      </c>
      <c r="E14" s="10" t="inlineStr">
        <is>
          <t>[7:0]</t>
        </is>
      </c>
      <c r="F14" s="10" t="inlineStr">
        <is>
          <t>R/W</t>
        </is>
      </c>
      <c r="G14" s="11" t="inlineStr">
        <is>
          <t>6</t>
        </is>
      </c>
      <c r="H14" s="12" t="inlineStr">
        <is>
          <t>unsigned, adc_clk</t>
        </is>
      </c>
      <c r="I14" s="12" t="inlineStr">
        <is>
          <t>HW min 6</t>
        </is>
      </c>
      <c r="J14" s="12" t="inlineStr">
        <is>
          <t>RXAGC clear_or / clear_ov pulse width</t>
        </is>
      </c>
      <c r="K14" s="12" t="inlineStr">
        <is>
          <t>Real-time</t>
        </is>
      </c>
      <c r="L14" s="12" t="inlineStr">
        <is>
          <t>chN/agc_emu/agc_cdc_0 -&gt; rxagc_0</t>
        </is>
      </c>
      <c r="M14" s="10" t="inlineStr">
        <is>
          <t>AGC_EMU</t>
        </is>
      </c>
    </row>
    <row r="15">
      <c r="A15" s="10" t="inlineStr">
        <is>
          <t>sys13</t>
        </is>
      </c>
      <c r="B15" s="11" t="inlineStr">
        <is>
          <t>034</t>
        </is>
      </c>
      <c r="C15" s="10">
        <f>"0x"&amp;DEC2HEX(HEX2DEC(Summary!$B$3)+52,8)</f>
        <v/>
      </c>
      <c r="D15" s="12" t="inlineStr">
        <is>
          <t>agc_rx_wait_clear_cycle</t>
        </is>
      </c>
      <c r="E15" s="10" t="inlineStr">
        <is>
          <t>[7:0]</t>
        </is>
      </c>
      <c r="F15" s="10" t="inlineStr">
        <is>
          <t>R/W</t>
        </is>
      </c>
      <c r="G15" s="11" t="inlineStr">
        <is>
          <t>10</t>
        </is>
      </c>
      <c r="H15" s="12" t="inlineStr">
        <is>
          <t>unsigned, adc_clk</t>
        </is>
      </c>
      <c r="I15" s="12" t="inlineStr">
        <is>
          <t>HW min 1</t>
        </is>
      </c>
      <c r="J15" s="12" t="inlineStr">
        <is>
          <t>RXAGC S_WAIT_CLEAR</t>
        </is>
      </c>
      <c r="K15" s="12" t="inlineStr">
        <is>
          <t>Real-time</t>
        </is>
      </c>
      <c r="L15" s="12" t="inlineStr">
        <is>
          <t>chN/agc_emu/agc_cdc_0 -&gt; rxagc_0</t>
        </is>
      </c>
      <c r="M15" s="10" t="inlineStr">
        <is>
          <t>AGC_EMU</t>
        </is>
      </c>
    </row>
    <row r="16">
      <c r="A16" s="13" t="inlineStr">
        <is>
          <t>sys14</t>
        </is>
      </c>
      <c r="B16" s="14" t="inlineStr">
        <is>
          <t>038</t>
        </is>
      </c>
      <c r="C16" s="13">
        <f>"0x"&amp;DEC2HEX(HEX2DEC(Summary!$B$3)+56,8)</f>
        <v/>
      </c>
      <c r="D16" s="15" t="inlineStr">
        <is>
          <t>build_version</t>
        </is>
      </c>
      <c r="E16" s="13" t="inlineStr">
        <is>
          <t>[31:0]</t>
        </is>
      </c>
      <c r="F16" s="13" t="inlineStr">
        <is>
          <t>R</t>
        </is>
      </c>
      <c r="G16" s="14" t="inlineStr">
        <is>
          <t>-</t>
        </is>
      </c>
      <c r="H16" s="15" t="inlineStr">
        <is>
          <t>unsigned</t>
        </is>
      </c>
      <c r="I16" s="15" t="inlineStr">
        <is>
          <t>-</t>
        </is>
      </c>
      <c r="J16" s="15" t="inlineStr">
        <is>
          <t>Build number (XSA / output_data index, e.g. 12), set by build_full_xsa.tcl</t>
        </is>
      </c>
      <c r="K16" s="15" t="inlineStr">
        <is>
          <t>-</t>
        </is>
      </c>
      <c r="L16" s="15" t="inlineStr">
        <is>
          <t>system_reg_map parameter BUILD_VERSION</t>
        </is>
      </c>
      <c r="M16" s="13" t="inlineStr">
        <is>
          <t>System</t>
        </is>
      </c>
    </row>
    <row r="17">
      <c r="A17" s="7" t="inlineStr">
        <is>
          <t>sys15</t>
        </is>
      </c>
      <c r="B17" s="8" t="inlineStr">
        <is>
          <t>03C</t>
        </is>
      </c>
      <c r="C17" s="7">
        <f>"0x"&amp;DEC2HEX(HEX2DEC(Summary!$B$3)+60,8)</f>
        <v/>
      </c>
      <c r="D17" s="9" t="inlineStr">
        <is>
          <t>cw_power_avg_log2</t>
        </is>
      </c>
      <c r="E17" s="7" t="inlineStr">
        <is>
          <t>[3:0]</t>
        </is>
      </c>
      <c r="F17" s="7" t="inlineStr">
        <is>
          <t>R/W</t>
        </is>
      </c>
      <c r="G17" s="8" t="inlineStr">
        <is>
          <t>8</t>
        </is>
      </c>
      <c r="H17" s="9" t="inlineStr">
        <is>
          <t>log2(N), CW samples (clk)</t>
        </is>
      </c>
      <c r="I17" s="9" t="inlineStr">
        <is>
          <t>0 ~ 12 (N = 1 ~ 4096, &gt;12 -&gt; 12)</t>
        </is>
      </c>
      <c r="J17" s="9" t="inlineStr">
        <is>
          <t>CW power block average: cw_amp averaged over N = 2^k samples, Power Fit (CW) updated once every N clk (2026-10-10, build 13)</t>
        </is>
      </c>
      <c r="K17" s="9" t="inlineStr">
        <is>
          <t>Next block</t>
        </is>
      </c>
      <c r="L17" s="9" t="inlineStr">
        <is>
          <t>chN/cal_cdc_0 -&gt; power_fit_top/power_fit_db_0</t>
        </is>
      </c>
      <c r="M17" s="7" t="inlineStr">
        <is>
          <t>Power Fit</t>
        </is>
      </c>
    </row>
    <row r="18">
      <c r="A18" s="10" t="inlineStr">
        <is>
          <t>sys16</t>
        </is>
      </c>
      <c r="B18" s="11" t="inlineStr">
        <is>
          <t>040</t>
        </is>
      </c>
      <c r="C18" s="10">
        <f>"0x"&amp;DEC2HEX(HEX2DEC(Summary!$B$3)+64,8)</f>
        <v/>
      </c>
      <c r="D18" s="12" t="inlineStr">
        <is>
          <t>agc_tx_att_hysteresis</t>
        </is>
      </c>
      <c r="E18" s="10" t="inlineStr">
        <is>
          <t>[7:0]</t>
        </is>
      </c>
      <c r="F18" s="10" t="inlineStr">
        <is>
          <t>R/W</t>
        </is>
      </c>
      <c r="G18" s="11" t="inlineStr">
        <is>
          <t>10</t>
        </is>
      </c>
      <c r="H18" s="12" t="inlineStr">
        <is>
          <t>U4.4 dB (1/16 dB)</t>
        </is>
      </c>
      <c r="I18" s="12" t="inlineStr">
        <is>
          <t>0 ~ 15.9375 dB (0 = no hysteresis)</t>
        </is>
      </c>
      <c r="J18" s="12" t="inlineStr">
        <is>
          <t>TXAGC analog step hysteresis H: keep the current analog step while T stays within [A - H, A_next + H); R range -H ~ 4.9375 + H dB (build 13)</t>
        </is>
      </c>
      <c r="K18" s="12" t="inlineStr">
        <is>
          <t>Real-time</t>
        </is>
      </c>
      <c r="L18" s="12" t="inlineStr">
        <is>
          <t>chN/agc_emu/agc_cdc_0 -&gt; txagc_0</t>
        </is>
      </c>
      <c r="M18" s="10" t="inlineStr">
        <is>
          <t>AGC_EMU</t>
        </is>
      </c>
    </row>
  </sheetData>
  <autoFilter ref="A1:M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8" customWidth="1" min="4" max="4"/>
    <col width="90" customWidth="1" min="5" max="5"/>
  </cols>
  <sheetData>
    <row r="1">
      <c r="A1" s="6" t="inlineStr">
        <is>
          <t>Step</t>
        </is>
      </c>
      <c r="B1" s="6" t="inlineStr">
        <is>
          <t>Register</t>
        </is>
      </c>
      <c r="C1" s="6" t="inlineStr">
        <is>
          <t>Address</t>
        </is>
      </c>
      <c r="D1" s="6" t="inlineStr">
        <is>
          <t>Write value (hex)</t>
        </is>
      </c>
      <c r="E1" s="6" t="inlineStr">
        <is>
          <t>Comment</t>
        </is>
      </c>
    </row>
    <row r="2">
      <c r="A2" s="5" t="inlineStr">
        <is>
          <t>A. Check the build on the board</t>
        </is>
      </c>
    </row>
    <row r="3">
      <c r="A3" s="16" t="n">
        <v>1</v>
      </c>
      <c r="B3" s="16" t="inlineStr">
        <is>
          <t>build_version (sys14)</t>
        </is>
      </c>
      <c r="C3" s="16">
        <f>"0x"&amp;DEC2HEX(HEX2DEC(Summary!$B$3)+56,8)</f>
        <v/>
      </c>
      <c r="D3" s="17" t="inlineStr">
        <is>
          <t>(read)</t>
        </is>
      </c>
      <c r="E3" s="16" t="inlineStr">
        <is>
          <t>12 = build _12</t>
        </is>
      </c>
    </row>
    <row r="4">
      <c r="A4" s="5" t="inlineStr">
        <is>
          <t>B. Pulse mode</t>
        </is>
      </c>
    </row>
    <row r="5">
      <c r="A5" s="16" t="n">
        <v>1</v>
      </c>
      <c r="B5" s="16" t="inlineStr">
        <is>
          <t>power_limit_margin (sys1)</t>
        </is>
      </c>
      <c r="C5" s="16">
        <f>"0x"&amp;DEC2HEX(HEX2DEC(Summary!$B$3)+4,8)</f>
        <v/>
      </c>
      <c r="D5" s="17" t="inlineStr">
        <is>
          <t>00000003</t>
        </is>
      </c>
      <c r="E5" s="16" t="inlineStr">
        <is>
          <t>3 dB</t>
        </is>
      </c>
    </row>
    <row r="6">
      <c r="A6" s="16" t="n">
        <v>2</v>
      </c>
      <c r="B6" s="16" t="inlineStr">
        <is>
          <t>pulse_update_stable_cycle (sys3)</t>
        </is>
      </c>
      <c r="C6" s="16">
        <f>"0x"&amp;DEC2HEX(HEX2DEC(Summary!$B$3)+12,8)</f>
        <v/>
      </c>
      <c r="D6" s="17" t="inlineStr">
        <is>
          <t>00000004</t>
        </is>
      </c>
      <c r="E6" s="16" t="inlineStr">
        <is>
          <t>avg / PAPR latched after 4 stable clk</t>
        </is>
      </c>
    </row>
    <row r="7">
      <c r="A7" s="16" t="n">
        <v>3</v>
      </c>
      <c r="B7" s="16" t="inlineStr">
        <is>
          <t>signal_mode_select (sys0)</t>
        </is>
      </c>
      <c r="C7" s="16">
        <f>"0x"&amp;DEC2HEX(HEX2DEC(Summary!$B$3)+0,8)</f>
        <v/>
      </c>
      <c r="D7" s="17" t="inlineStr">
        <is>
          <t>00000001</t>
        </is>
      </c>
      <c r="E7" s="16" t="inlineStr">
        <is>
          <t>Pulse: goal = -(3 + PAPR) dBFS</t>
        </is>
      </c>
    </row>
    <row r="8">
      <c r="A8" s="5" t="inlineStr">
        <is>
          <t>C. CW mode goal -6 dBFS</t>
        </is>
      </c>
    </row>
    <row r="9">
      <c r="A9" s="16" t="n">
        <v>1</v>
      </c>
      <c r="B9" s="16" t="inlineStr">
        <is>
          <t>cw_mode_goal_dbfs (sys2)</t>
        </is>
      </c>
      <c r="C9" s="16">
        <f>"0x"&amp;DEC2HEX(HEX2DEC(Summary!$B$3)+8,8)</f>
        <v/>
      </c>
      <c r="D9" s="17" t="inlineStr">
        <is>
          <t>000007A0</t>
        </is>
      </c>
      <c r="E9" s="16" t="inlineStr">
        <is>
          <t>-6.0 dBFS (HW limit: &lt;= -margin)</t>
        </is>
      </c>
    </row>
    <row r="10">
      <c r="A10" s="16" t="n">
        <v>2</v>
      </c>
      <c r="B10" s="16" t="inlineStr">
        <is>
          <t>signal_mode_select (sys0)</t>
        </is>
      </c>
      <c r="C10" s="16">
        <f>"0x"&amp;DEC2HEX(HEX2DEC(Summary!$B$3)+0,8)</f>
        <v/>
      </c>
      <c r="D10" s="17" t="inlineStr">
        <is>
          <t>00000000</t>
        </is>
      </c>
      <c r="E10" s="16" t="inlineStr">
        <is>
          <t>CW</t>
        </is>
      </c>
    </row>
    <row r="11">
      <c r="A11" s="5" t="inlineStr">
        <is>
          <t>D. TX power mode / cycles</t>
        </is>
      </c>
    </row>
    <row r="12">
      <c r="A12" s="16" t="n">
        <v>1</v>
      </c>
      <c r="B12" s="16" t="inlineStr">
        <is>
          <t>agc_tx_power_mode (sys4)</t>
        </is>
      </c>
      <c r="C12" s="16">
        <f>"0x"&amp;DEC2HEX(HEX2DEC(Summary!$B$3)+16,8)</f>
        <v/>
      </c>
      <c r="D12" s="17" t="inlineStr">
        <is>
          <t>00000001</t>
        </is>
      </c>
      <c r="E12" s="16" t="inlineStr">
        <is>
          <t>Manual (all channels)</t>
        </is>
      </c>
    </row>
    <row r="13">
      <c r="A13" s="16" t="n">
        <v>2</v>
      </c>
      <c r="B13" s="16" t="inlineStr">
        <is>
          <t>agc_sr_update_period (sys6)</t>
        </is>
      </c>
      <c r="C13" s="16">
        <f>"0x"&amp;DEC2HEX(HEX2DEC(Summary!$B$3)+24,8)</f>
        <v/>
      </c>
      <c r="D13" s="17" t="inlineStr">
        <is>
          <t>00000064</t>
        </is>
      </c>
      <c r="E13" s="16" t="inlineStr">
        <is>
          <t>SR round = 100 clk (417 ns)</t>
        </is>
      </c>
    </row>
    <row r="14">
      <c r="A14" s="16" t="n">
        <v>3</v>
      </c>
      <c r="B14" s="16" t="inlineStr">
        <is>
          <t>digital_apply_delay (sys5)</t>
        </is>
      </c>
      <c r="C14" s="16">
        <f>"0x"&amp;DEC2HEX(HEX2DEC(Summary!$B$3)+20,8)</f>
        <v/>
      </c>
      <c r="D14" s="17" t="inlineStr">
        <is>
          <t>00000023</t>
        </is>
      </c>
      <c r="E14" s="16" t="inlineStr">
        <is>
          <t>35 = digital applied on RCLK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2026-10-19T11:44:33Z</dcterms:created>
  <dcterms:modified xmlns:dcterms="http://purl.org/dc/terms/" xmlns:xsi="http://www.w3.org/2001/XMLSchema-instance" xsi:type="dcterms:W3CDTF">2026-10-19T11:44:33Z</dcterms:modified>
</cp:coreProperties>
</file>