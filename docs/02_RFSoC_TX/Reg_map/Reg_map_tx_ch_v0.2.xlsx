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_Map" sheetId="2" state="visible" r:id="rId2"/>
    <sheet xmlns:r="http://schemas.openxmlformats.org/officeDocument/2006/relationships" name="Register_Map" sheetId="3" state="visible" r:id="rId3"/>
    <sheet xmlns:r="http://schemas.openxmlformats.org/officeDocument/2006/relationships" name="v7_to_v8" sheetId="4" state="visible" r:id="rId4"/>
    <sheet xmlns:r="http://schemas.openxmlformats.org/officeDocument/2006/relationships" name="BD_IO" sheetId="5" state="visible" r:id="rId5"/>
    <sheet xmlns:r="http://schemas.openxmlformats.org/officeDocument/2006/relationships" name="Examples" sheetId="6" state="visible" r:id="rId6"/>
  </sheets>
  <definedNames>
    <definedName name="_xlnm._FilterDatabase" localSheetId="2" hidden="1">'Register_Map'!$A$1:$M$49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49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49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49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49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AGC_EMU</author>
  </authors>
  <commentList>
    <comment ref="B3" authorId="0" shapeId="0">
      <text>
        <t>Base address of cal_plus_gain_control_chN/addressable_reg_map (SEG_addressable_reg_map_reg0 = ch1)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PJ22045_1R8T Channel Register Map v0.2 (RegMap v8 + mem39, cal_plus_gain_control_ch1~8 / addressable_reg_map)</t>
        </is>
      </c>
    </row>
    <row r="2">
      <c r="A2" s="2" t="n"/>
    </row>
    <row r="3">
      <c r="A3" s="2" t="inlineStr">
        <is>
          <t>Base address (hex)</t>
        </is>
      </c>
      <c r="B3" s="3" t="inlineStr">
        <is>
          <t>A0090000</t>
        </is>
      </c>
    </row>
    <row r="4">
      <c r="A4" s="2" t="inlineStr">
        <is>
          <t>Channel bases</t>
        </is>
      </c>
      <c r="B4" s="4" t="inlineStr">
        <is>
          <t>ch1~ch8 = 0xA009_0000 + 0x1000 x (N-1) (ch1 0xA009_0000 ... ch8 0xA009_7000); gain BRAM 0xA009_A000 + 0x2000 x (N-1); see sheet Channel_Map (design_1 Address Editor, build 02)</t>
        </is>
      </c>
    </row>
    <row r="5">
      <c r="A5" s="2" t="inlineStr">
        <is>
          <t>AXI-Lite range</t>
        </is>
      </c>
      <c r="B5" s="4" t="inlineStr">
        <is>
          <t>4 KB window, 128 x 32-bit registers (mem0~127), 9-bit address</t>
        </is>
      </c>
    </row>
    <row r="6">
      <c r="A6" s="2" t="inlineStr">
        <is>
          <t>Clock</t>
        </is>
      </c>
      <c r="B6" s="4" t="inlineStr">
        <is>
          <t>S_AXI_ACLK = pl_clk0 (100 MHz)</t>
        </is>
      </c>
    </row>
    <row r="7">
      <c r="A7" s="2" t="inlineStr">
        <is>
          <t>Version</t>
        </is>
      </c>
      <c r="B7" s="4" t="inlineStr">
        <is>
          <t>v0.2 (2026-10-19, Debug_008): mem39 signal_source_select 1 -&gt; 2 bit, 2 / 3 = all_zero (160'd0, tvalid = 1). v0.1 (2026-10-15, PJ22045_1R8T build 02): register definition = Calibration_Gain_Control Reg_map_tx_ch_v0.2 (RegMap v8).</t>
        </is>
      </c>
    </row>
    <row r="8">
      <c r="A8" s="2" t="inlineStr">
        <is>
          <t>Source</t>
        </is>
      </c>
      <c r="B8" s="4" t="inlineStr">
        <is>
          <t>docs/02_RFSoC_TX/tools/regmap_def.py (copy of Calibration_Gain_Control/doc/tools/regmap_def.py) -&gt; docs/02_RFSoC_TX/tools/mk_regmap_v8.py (this file)</t>
        </is>
      </c>
    </row>
    <row r="9">
      <c r="A9" s="2" t="n"/>
    </row>
    <row r="10">
      <c r="A10" s="5" t="inlineStr">
        <is>
          <t>Legend</t>
        </is>
      </c>
    </row>
    <row r="11">
      <c r="A11" s="2" t="inlineStr">
        <is>
          <t>Yellow cell</t>
        </is>
      </c>
      <c r="B11" s="4" t="inlineStr">
        <is>
          <t>Input: change the base address here (e.g. A0092000 for ch3); all addresses follow</t>
        </is>
      </c>
    </row>
    <row r="12">
      <c r="A12" s="2" t="inlineStr">
        <is>
          <t>Grey / green rows</t>
        </is>
      </c>
      <c r="B12" s="4" t="inlineStr">
        <is>
          <t>Configuration registers (R/W)</t>
        </is>
      </c>
    </row>
    <row r="13">
      <c r="A13" s="2" t="inlineStr">
        <is>
          <t>Blue rows</t>
        </is>
      </c>
      <c r="B13" s="4" t="inlineStr">
        <is>
          <t>Status registers: write status_snapshot (mem64) = 1, then read mem65~70 (one consistent snapshot)</t>
        </is>
      </c>
    </row>
    <row r="14">
      <c r="A14" s="2" t="n"/>
    </row>
    <row r="15">
      <c r="A15" s="5" t="inlineStr">
        <is>
          <t>Notes</t>
        </is>
      </c>
    </row>
    <row r="16">
      <c r="A16" s="2" t="inlineStr">
        <is>
          <t>1</t>
        </is>
      </c>
      <c r="B16" s="4" t="inlineStr">
        <is>
          <t>All configuration registers are R/W 32-bit; unused upper bits read back what was written and are ignored by the hardware.</t>
        </is>
      </c>
    </row>
    <row r="17">
      <c r="A17" s="2" t="inlineStr">
        <is>
          <t>2</t>
        </is>
      </c>
      <c r="B17" s="4" t="inlineStr">
        <is>
          <t>Non-zero reset: dac_output_ref_dbm (mem25) = 0x670 (-25 dBm), goal_ref_dbfs (mem26) = 0x7A0 (-6.0 dBFS), agc_reg5 (mem27) = 0x80 (RX mode).</t>
        </is>
      </c>
    </row>
    <row r="18">
      <c r="A18" s="2" t="inlineStr">
        <is>
          <t>3</t>
        </is>
      </c>
      <c r="B18" s="4" t="inlineStr">
        <is>
          <t>dBFS: 16384 = 0 dBFS. S6.4 = 11-bit two's complement, 1/16 dB (e.g. -6.0 dB = -96 = 0x7A0).</t>
        </is>
      </c>
    </row>
    <row r="19">
      <c r="A19" s="2" t="inlineStr">
        <is>
          <t>4</t>
        </is>
      </c>
      <c r="B19" s="4" t="inlineStr">
        <is>
          <t>Status: status_snapshot read value = completed snapshot count [15:0]; it increments when both clk (256 MHz) and adc_clk (240 MHz) domains have latched. Signed status fields are sign-extended to 32 bit.</t>
        </is>
      </c>
    </row>
    <row r="20">
      <c r="A20" s="2" t="inlineStr">
        <is>
          <t>6</t>
        </is>
      </c>
      <c r="B20" s="4" t="inlineStr">
        <is>
          <t>bypass_axis_iq (mem38) = 1: m_axis_iq = Signal Source Mux output (FIR / calibration / gain control bypassed, 0 latency mux); the normal path keeps running so AGC / Power Fit status is still valid. Debug only.</t>
        </is>
      </c>
    </row>
    <row r="21">
      <c r="A21" s="2" t="inlineStr">
        <is>
          <t>8</t>
        </is>
      </c>
      <c r="B21" s="4" t="inlineStr">
        <is>
          <t>PJ22045_1R8T: s_axis_iq_in_0 = Aurora (hier_rx_x0yN/M_AXIS_Cx), s_axis_iq_in_1 = local ADC (rfdc_iq_combine_chN). Boot default (software reg_map_cfg.c): mem39 = 0 (Aurora), mem38 = 0, FIR = impulse response (tap7 I = 0x7FFF). Debug_008 PS: ch1 only mem39 = 2 (all_zero) + mem38 = 1; ch2~ch8 = 0 / 0.</t>
        </is>
      </c>
    </row>
    <row r="22">
      <c r="A22" s="2" t="inlineStr">
        <is>
          <t>7</t>
        </is>
      </c>
      <c r="B22" s="4" t="inlineStr">
        <is>
          <t>signal_source_select (mem39): Signal Source Mux in front of the mem38 bypass. 0 = s_axis_iq_in_0, 1 = s_axis_iq_in_1, 2 / 3 = all_zero (Debug_008, 160'd0 with tvalid = 1); the selected stream feeds Power Fit / Calibration (and the bypass path). 0 latency mux; unselected inputs are dropped (tready = 1). All on clk (256 MHz).</t>
        </is>
      </c>
    </row>
    <row r="23">
      <c r="A23" s="2" t="inlineStr">
        <is>
          <t>5</t>
        </is>
      </c>
      <c r="B23" s="4" t="inlineStr">
        <is>
          <t>Moved to system_reg_map (v7 -&gt; v8): signal_mode_select (mem26), power_limit_margin (mem27), cw_mode_goal_amp (mem20 -&gt; cw_mode_goal_dbfs), digital_apply_delay (mem30), agc_tx_power_mode (mem36), agc_rx_*_cycle (mem44~49), agc_sr_update_period (mem50), agc_mode_settle_cycle (mem51).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6" customWidth="1" min="4" max="4"/>
    <col width="22" customWidth="1" min="5" max="5"/>
    <col width="8" customWidth="1" min="6" max="6"/>
    <col width="10" customWidth="1" min="7" max="7"/>
    <col width="18" customWidth="1" min="8" max="8"/>
    <col width="14" customWidth="1" min="9" max="9"/>
  </cols>
  <sheetData>
    <row r="1">
      <c r="A1" s="6" t="inlineStr">
        <is>
          <t>Ch</t>
        </is>
      </c>
      <c r="B1" s="6" t="inlineStr">
        <is>
          <t>Reg map base</t>
        </is>
      </c>
      <c r="C1" s="6" t="inlineStr">
        <is>
          <t>Gain BRAM base</t>
        </is>
      </c>
      <c r="D1" s="6" t="inlineStr">
        <is>
          <t>in_0 (Aurora)</t>
        </is>
      </c>
      <c r="E1" s="6" t="inlineStr">
        <is>
          <t>in_1 (ADC -&gt; combiner)</t>
        </is>
      </c>
      <c r="F1" s="6" t="inlineStr">
        <is>
          <t>DAC</t>
        </is>
      </c>
      <c r="G1" s="6" t="inlineStr">
        <is>
          <t>adc_clk</t>
        </is>
      </c>
      <c r="H1" s="6" t="inlineStr">
        <is>
          <t>RFDC flag / clear</t>
        </is>
      </c>
      <c r="I1" s="6" t="inlineStr">
        <is>
          <t>VIO probe_out</t>
        </is>
      </c>
    </row>
    <row r="2">
      <c r="A2" s="7" t="inlineStr">
        <is>
          <t>ch1</t>
        </is>
      </c>
      <c r="B2" s="7" t="inlineStr">
        <is>
          <t>0xA0090000</t>
        </is>
      </c>
      <c r="C2" s="7" t="inlineStr">
        <is>
          <t>0xA009A000</t>
        </is>
      </c>
      <c r="D2" s="7" t="inlineStr">
        <is>
          <t>hier_rx_x0y2 / M_AXIS_C0</t>
        </is>
      </c>
      <c r="E2" s="7" t="inlineStr">
        <is>
          <t>m00 / m01</t>
        </is>
      </c>
      <c r="F2" s="7" t="inlineStr">
        <is>
          <t>s00</t>
        </is>
      </c>
      <c r="G2" s="7" t="inlineStr">
        <is>
          <t>clk_adc0</t>
        </is>
      </c>
      <c r="H2" s="7" t="inlineStr">
        <is>
          <t>adc0_01</t>
        </is>
      </c>
      <c r="I2" s="7" t="inlineStr">
        <is>
          <t>0 ~ 3</t>
        </is>
      </c>
    </row>
    <row r="3">
      <c r="A3" s="7" t="inlineStr">
        <is>
          <t>ch2</t>
        </is>
      </c>
      <c r="B3" s="7" t="inlineStr">
        <is>
          <t>0xA0091000</t>
        </is>
      </c>
      <c r="C3" s="7" t="inlineStr">
        <is>
          <t>0xA009C000</t>
        </is>
      </c>
      <c r="D3" s="7" t="inlineStr">
        <is>
          <t>hier_rx_x0y2 / M_AXIS_C1</t>
        </is>
      </c>
      <c r="E3" s="7" t="inlineStr">
        <is>
          <t>m02 / m03</t>
        </is>
      </c>
      <c r="F3" s="7" t="inlineStr">
        <is>
          <t>s02</t>
        </is>
      </c>
      <c r="G3" s="7" t="inlineStr">
        <is>
          <t>clk_adc0</t>
        </is>
      </c>
      <c r="H3" s="7" t="inlineStr">
        <is>
          <t>adc0_23</t>
        </is>
      </c>
      <c r="I3" s="7" t="inlineStr">
        <is>
          <t>4 ~ 7</t>
        </is>
      </c>
    </row>
    <row r="4">
      <c r="A4" s="7" t="inlineStr">
        <is>
          <t>ch3</t>
        </is>
      </c>
      <c r="B4" s="7" t="inlineStr">
        <is>
          <t>0xA0092000</t>
        </is>
      </c>
      <c r="C4" s="7" t="inlineStr">
        <is>
          <t>0xA009E000</t>
        </is>
      </c>
      <c r="D4" s="7" t="inlineStr">
        <is>
          <t>hier_rx_x0y1 / M_AXIS_C0</t>
        </is>
      </c>
      <c r="E4" s="7" t="inlineStr">
        <is>
          <t>m10 / m11</t>
        </is>
      </c>
      <c r="F4" s="7" t="inlineStr">
        <is>
          <t>s10</t>
        </is>
      </c>
      <c r="G4" s="7" t="inlineStr">
        <is>
          <t>clk_adc1</t>
        </is>
      </c>
      <c r="H4" s="7" t="inlineStr">
        <is>
          <t>adc1_01</t>
        </is>
      </c>
      <c r="I4" s="7" t="inlineStr">
        <is>
          <t>8 ~ 11</t>
        </is>
      </c>
    </row>
    <row r="5">
      <c r="A5" s="7" t="inlineStr">
        <is>
          <t>ch4</t>
        </is>
      </c>
      <c r="B5" s="7" t="inlineStr">
        <is>
          <t>0xA0093000</t>
        </is>
      </c>
      <c r="C5" s="7" t="inlineStr">
        <is>
          <t>0xA00A0000</t>
        </is>
      </c>
      <c r="D5" s="7" t="inlineStr">
        <is>
          <t>hier_rx_x0y1 / M_AXIS_C1</t>
        </is>
      </c>
      <c r="E5" s="7" t="inlineStr">
        <is>
          <t>m12 / m13</t>
        </is>
      </c>
      <c r="F5" s="7" t="inlineStr">
        <is>
          <t>s12</t>
        </is>
      </c>
      <c r="G5" s="7" t="inlineStr">
        <is>
          <t>clk_adc1</t>
        </is>
      </c>
      <c r="H5" s="7" t="inlineStr">
        <is>
          <t>adc1_23</t>
        </is>
      </c>
      <c r="I5" s="7" t="inlineStr">
        <is>
          <t>12 ~ 15</t>
        </is>
      </c>
    </row>
    <row r="6">
      <c r="A6" s="7" t="inlineStr">
        <is>
          <t>ch5</t>
        </is>
      </c>
      <c r="B6" s="7" t="inlineStr">
        <is>
          <t>0xA0094000</t>
        </is>
      </c>
      <c r="C6" s="7" t="inlineStr">
        <is>
          <t>0xA00A2000</t>
        </is>
      </c>
      <c r="D6" s="7" t="inlineStr">
        <is>
          <t>hier_rx_x0y3 / M_AXIS_C0</t>
        </is>
      </c>
      <c r="E6" s="7" t="inlineStr">
        <is>
          <t>m20 / m21</t>
        </is>
      </c>
      <c r="F6" s="7" t="inlineStr">
        <is>
          <t>s20</t>
        </is>
      </c>
      <c r="G6" s="7" t="inlineStr">
        <is>
          <t>clk_adc2</t>
        </is>
      </c>
      <c r="H6" s="7" t="inlineStr">
        <is>
          <t>adc2_01</t>
        </is>
      </c>
      <c r="I6" s="7" t="inlineStr">
        <is>
          <t>16 ~ 19</t>
        </is>
      </c>
    </row>
    <row r="7">
      <c r="A7" s="7" t="inlineStr">
        <is>
          <t>ch6</t>
        </is>
      </c>
      <c r="B7" s="7" t="inlineStr">
        <is>
          <t>0xA0095000</t>
        </is>
      </c>
      <c r="C7" s="7" t="inlineStr">
        <is>
          <t>0xA00A4000</t>
        </is>
      </c>
      <c r="D7" s="7" t="inlineStr">
        <is>
          <t>hier_rx_x0y3 / M_AXIS_C1</t>
        </is>
      </c>
      <c r="E7" s="7" t="inlineStr">
        <is>
          <t>m22 / m23</t>
        </is>
      </c>
      <c r="F7" s="7" t="inlineStr">
        <is>
          <t>s22</t>
        </is>
      </c>
      <c r="G7" s="7" t="inlineStr">
        <is>
          <t>clk_adc2</t>
        </is>
      </c>
      <c r="H7" s="7" t="inlineStr">
        <is>
          <t>adc2_23</t>
        </is>
      </c>
      <c r="I7" s="7" t="inlineStr">
        <is>
          <t>20 ~ 23</t>
        </is>
      </c>
    </row>
    <row r="8">
      <c r="A8" s="7" t="inlineStr">
        <is>
          <t>ch7</t>
        </is>
      </c>
      <c r="B8" s="7" t="inlineStr">
        <is>
          <t>0xA0096000</t>
        </is>
      </c>
      <c r="C8" s="7" t="inlineStr">
        <is>
          <t>0xA00A6000</t>
        </is>
      </c>
      <c r="D8" s="7" t="inlineStr">
        <is>
          <t>hier_rx_x0y4 / M_AXIS_C0</t>
        </is>
      </c>
      <c r="E8" s="7" t="inlineStr">
        <is>
          <t>m30 / m31</t>
        </is>
      </c>
      <c r="F8" s="7" t="inlineStr">
        <is>
          <t>s30</t>
        </is>
      </c>
      <c r="G8" s="7" t="inlineStr">
        <is>
          <t>clk_adc3</t>
        </is>
      </c>
      <c r="H8" s="7" t="inlineStr">
        <is>
          <t>adc3_01</t>
        </is>
      </c>
      <c r="I8" s="7" t="inlineStr">
        <is>
          <t>24 ~ 27</t>
        </is>
      </c>
    </row>
    <row r="9">
      <c r="A9" s="7" t="inlineStr">
        <is>
          <t>ch8</t>
        </is>
      </c>
      <c r="B9" s="7" t="inlineStr">
        <is>
          <t>0xA0097000</t>
        </is>
      </c>
      <c r="C9" s="7" t="inlineStr">
        <is>
          <t>0xA00A8000</t>
        </is>
      </c>
      <c r="D9" s="7" t="inlineStr">
        <is>
          <t>hier_rx_x0y4 / M_AXIS_C1</t>
        </is>
      </c>
      <c r="E9" s="7" t="inlineStr">
        <is>
          <t>m32 / m33</t>
        </is>
      </c>
      <c r="F9" s="7" t="inlineStr">
        <is>
          <t>s32</t>
        </is>
      </c>
      <c r="G9" s="7" t="inlineStr">
        <is>
          <t>clk_adc3</t>
        </is>
      </c>
      <c r="H9" s="7" t="inlineStr">
        <is>
          <t>adc3_23</t>
        </is>
      </c>
      <c r="I9" s="7" t="inlineStr">
        <is>
          <t>28 ~ 31</t>
        </is>
      </c>
    </row>
    <row r="11">
      <c r="A11" s="2" t="inlineStr">
        <is>
          <t>system_reg_map: 0xA009_8000 (sheet in Reg_map_emu_sys).</t>
        </is>
      </c>
    </row>
    <row r="12">
      <c r="A12" s="2" t="inlineStr">
        <is>
          <t>All channels: clk = FPGA_clk 256 MHz, S_AXI_ACLK = pl_clk0 100 MHz, adc_clk = clk_adcN 240 MHz.</t>
        </is>
      </c>
    </row>
    <row r="13">
      <c r="A13" s="2" t="inlineStr">
        <is>
          <t>VIO probes per channel: rx_att_index[2:0], algo_analog_att_db[8:0], pulse_avg_amp[15:0], pulse_papr[8:0].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30" customWidth="1" min="4" max="4"/>
    <col width="8" customWidth="1" min="5" max="5"/>
    <col width="6" customWidth="1" min="6" max="6"/>
    <col width="14" customWidth="1" min="7" max="7"/>
    <col width="26" customWidth="1" min="8" max="8"/>
    <col width="30" customWidth="1" min="9" max="9"/>
    <col width="64" customWidth="1" min="10" max="10"/>
    <col width="18" customWidth="1" min="11" max="11"/>
    <col width="36" customWidth="1" min="12" max="12"/>
    <col width="11" customWidth="1" min="13" max="13"/>
  </cols>
  <sheetData>
    <row r="1">
      <c r="A1" s="6" t="inlineStr">
        <is>
          <t>Index</t>
        </is>
      </c>
      <c r="B1" s="6" t="inlineStr">
        <is>
          <t>Offset (hex)</t>
        </is>
      </c>
      <c r="C1" s="6" t="inlineStr">
        <is>
          <t>Address</t>
        </is>
      </c>
      <c r="D1" s="6" t="inlineStr">
        <is>
          <t>Register Name</t>
        </is>
      </c>
      <c r="E1" s="6" t="inlineStr">
        <is>
          <t>Bits</t>
        </is>
      </c>
      <c r="F1" s="6" t="inlineStr">
        <is>
          <t>R/W</t>
        </is>
      </c>
      <c r="G1" s="6" t="inlineStr">
        <is>
          <t>Reset (hex)</t>
        </is>
      </c>
      <c r="H1" s="6" t="inlineStr">
        <is>
          <t>Format / Unit</t>
        </is>
      </c>
      <c r="I1" s="6" t="inlineStr">
        <is>
          <t>Range / Values</t>
        </is>
      </c>
      <c r="J1" s="6" t="inlineStr">
        <is>
          <t>Description</t>
        </is>
      </c>
      <c r="K1" s="6" t="inlineStr">
        <is>
          <t>Takes effect</t>
        </is>
      </c>
      <c r="L1" s="6" t="inlineStr">
        <is>
          <t>Used by (BD)</t>
        </is>
      </c>
      <c r="M1" s="6" t="inlineStr">
        <is>
          <t>Group</t>
        </is>
      </c>
    </row>
    <row r="2">
      <c r="A2" s="8" t="inlineStr">
        <is>
          <t>mem0</t>
        </is>
      </c>
      <c r="B2" s="9" t="inlineStr">
        <is>
          <t>000</t>
        </is>
      </c>
      <c r="C2" s="8">
        <f>"0x"&amp;DEC2HEX(HEX2DEC(Summary!$B$3)+0,8)</f>
        <v/>
      </c>
      <c r="D2" s="10" t="inlineStr">
        <is>
          <t>fir_enable</t>
        </is>
      </c>
      <c r="E2" s="8" t="inlineStr">
        <is>
          <t>[0]</t>
        </is>
      </c>
      <c r="F2" s="8" t="inlineStr">
        <is>
          <t>R/W</t>
        </is>
      </c>
      <c r="G2" s="9" t="inlineStr">
        <is>
          <t>0</t>
        </is>
      </c>
      <c r="H2" s="10" t="inlineStr">
        <is>
          <t>bit</t>
        </is>
      </c>
      <c r="I2" s="10" t="inlineStr">
        <is>
          <t>0 / 1</t>
        </is>
      </c>
      <c r="J2" s="10" t="inlineStr">
        <is>
          <t>Complex FIR enable</t>
        </is>
      </c>
      <c r="K2" s="10" t="inlineStr">
        <is>
          <t>-</t>
        </is>
      </c>
      <c r="L2" s="10" t="inlineStr">
        <is>
          <t>in_band_flatness/sl_fir_enable</t>
        </is>
      </c>
      <c r="M2" s="8" t="inlineStr">
        <is>
          <t>Calibration</t>
        </is>
      </c>
    </row>
    <row r="3">
      <c r="A3" s="8" t="inlineStr">
        <is>
          <t>mem1</t>
        </is>
      </c>
      <c r="B3" s="9" t="inlineStr">
        <is>
          <t>004</t>
        </is>
      </c>
      <c r="C3" s="8">
        <f>"0x"&amp;DEC2HEX(HEX2DEC(Summary!$B$3)+4,8)</f>
        <v/>
      </c>
      <c r="D3" s="10" t="inlineStr">
        <is>
          <t>fir_tap00</t>
        </is>
      </c>
      <c r="E3" s="8" t="inlineStr">
        <is>
          <t>[31:0]</t>
        </is>
      </c>
      <c r="F3" s="8" t="inlineStr">
        <is>
          <t>R/W</t>
        </is>
      </c>
      <c r="G3" s="9" t="inlineStr">
        <is>
          <t>0</t>
        </is>
      </c>
      <c r="H3" s="10" t="inlineStr">
        <is>
          <t>[15:0] I, [31:16] Q (S0.15 each, 0x7FFF ≈ 1.0)</t>
        </is>
      </c>
      <c r="I3" s="10" t="inlineStr">
        <is>
          <t>-</t>
        </is>
      </c>
      <c r="J3" s="10" t="inlineStr">
        <is>
          <t>Complex FIR tap 00 coefficient</t>
        </is>
      </c>
      <c r="K3" s="10" t="inlineStr">
        <is>
          <t>-</t>
        </is>
      </c>
      <c r="L3" s="10" t="inlineStr">
        <is>
          <t>in_band_flatness/FIR_coef_unpack_0</t>
        </is>
      </c>
      <c r="M3" s="8" t="inlineStr">
        <is>
          <t>Calibration</t>
        </is>
      </c>
    </row>
    <row r="4">
      <c r="A4" s="8" t="inlineStr">
        <is>
          <t>mem2</t>
        </is>
      </c>
      <c r="B4" s="9" t="inlineStr">
        <is>
          <t>008</t>
        </is>
      </c>
      <c r="C4" s="8">
        <f>"0x"&amp;DEC2HEX(HEX2DEC(Summary!$B$3)+8,8)</f>
        <v/>
      </c>
      <c r="D4" s="10" t="inlineStr">
        <is>
          <t>fir_tap01</t>
        </is>
      </c>
      <c r="E4" s="8" t="inlineStr">
        <is>
          <t>[31:0]</t>
        </is>
      </c>
      <c r="F4" s="8" t="inlineStr">
        <is>
          <t>R/W</t>
        </is>
      </c>
      <c r="G4" s="9" t="inlineStr">
        <is>
          <t>0</t>
        </is>
      </c>
      <c r="H4" s="10" t="inlineStr">
        <is>
          <t>[15:0] I, [31:16] Q (S0.15 each, 0x7FFF ≈ 1.0)</t>
        </is>
      </c>
      <c r="I4" s="10" t="inlineStr">
        <is>
          <t>-</t>
        </is>
      </c>
      <c r="J4" s="10" t="inlineStr">
        <is>
          <t>Complex FIR tap 01 coefficient</t>
        </is>
      </c>
      <c r="K4" s="10" t="inlineStr">
        <is>
          <t>-</t>
        </is>
      </c>
      <c r="L4" s="10" t="inlineStr">
        <is>
          <t>in_band_flatness/FIR_coef_unpack_0</t>
        </is>
      </c>
      <c r="M4" s="8" t="inlineStr">
        <is>
          <t>Calibration</t>
        </is>
      </c>
    </row>
    <row r="5">
      <c r="A5" s="8" t="inlineStr">
        <is>
          <t>mem3</t>
        </is>
      </c>
      <c r="B5" s="9" t="inlineStr">
        <is>
          <t>00C</t>
        </is>
      </c>
      <c r="C5" s="8">
        <f>"0x"&amp;DEC2HEX(HEX2DEC(Summary!$B$3)+12,8)</f>
        <v/>
      </c>
      <c r="D5" s="10" t="inlineStr">
        <is>
          <t>fir_tap02</t>
        </is>
      </c>
      <c r="E5" s="8" t="inlineStr">
        <is>
          <t>[31:0]</t>
        </is>
      </c>
      <c r="F5" s="8" t="inlineStr">
        <is>
          <t>R/W</t>
        </is>
      </c>
      <c r="G5" s="9" t="inlineStr">
        <is>
          <t>0</t>
        </is>
      </c>
      <c r="H5" s="10" t="inlineStr">
        <is>
          <t>[15:0] I, [31:16] Q (S0.15 each, 0x7FFF ≈ 1.0)</t>
        </is>
      </c>
      <c r="I5" s="10" t="inlineStr">
        <is>
          <t>-</t>
        </is>
      </c>
      <c r="J5" s="10" t="inlineStr">
        <is>
          <t>Complex FIR tap 02 coefficient</t>
        </is>
      </c>
      <c r="K5" s="10" t="inlineStr">
        <is>
          <t>-</t>
        </is>
      </c>
      <c r="L5" s="10" t="inlineStr">
        <is>
          <t>in_band_flatness/FIR_coef_unpack_0</t>
        </is>
      </c>
      <c r="M5" s="8" t="inlineStr">
        <is>
          <t>Calibration</t>
        </is>
      </c>
    </row>
    <row r="6">
      <c r="A6" s="8" t="inlineStr">
        <is>
          <t>mem4</t>
        </is>
      </c>
      <c r="B6" s="9" t="inlineStr">
        <is>
          <t>010</t>
        </is>
      </c>
      <c r="C6" s="8">
        <f>"0x"&amp;DEC2HEX(HEX2DEC(Summary!$B$3)+16,8)</f>
        <v/>
      </c>
      <c r="D6" s="10" t="inlineStr">
        <is>
          <t>fir_tap03</t>
        </is>
      </c>
      <c r="E6" s="8" t="inlineStr">
        <is>
          <t>[31:0]</t>
        </is>
      </c>
      <c r="F6" s="8" t="inlineStr">
        <is>
          <t>R/W</t>
        </is>
      </c>
      <c r="G6" s="9" t="inlineStr">
        <is>
          <t>0</t>
        </is>
      </c>
      <c r="H6" s="10" t="inlineStr">
        <is>
          <t>[15:0] I, [31:16] Q (S0.15 each, 0x7FFF ≈ 1.0)</t>
        </is>
      </c>
      <c r="I6" s="10" t="inlineStr">
        <is>
          <t>-</t>
        </is>
      </c>
      <c r="J6" s="10" t="inlineStr">
        <is>
          <t>Complex FIR tap 03 coefficient</t>
        </is>
      </c>
      <c r="K6" s="10" t="inlineStr">
        <is>
          <t>-</t>
        </is>
      </c>
      <c r="L6" s="10" t="inlineStr">
        <is>
          <t>in_band_flatness/FIR_coef_unpack_0</t>
        </is>
      </c>
      <c r="M6" s="8" t="inlineStr">
        <is>
          <t>Calibration</t>
        </is>
      </c>
    </row>
    <row r="7">
      <c r="A7" s="8" t="inlineStr">
        <is>
          <t>mem5</t>
        </is>
      </c>
      <c r="B7" s="9" t="inlineStr">
        <is>
          <t>014</t>
        </is>
      </c>
      <c r="C7" s="8">
        <f>"0x"&amp;DEC2HEX(HEX2DEC(Summary!$B$3)+20,8)</f>
        <v/>
      </c>
      <c r="D7" s="10" t="inlineStr">
        <is>
          <t>fir_tap04</t>
        </is>
      </c>
      <c r="E7" s="8" t="inlineStr">
        <is>
          <t>[31:0]</t>
        </is>
      </c>
      <c r="F7" s="8" t="inlineStr">
        <is>
          <t>R/W</t>
        </is>
      </c>
      <c r="G7" s="9" t="inlineStr">
        <is>
          <t>0</t>
        </is>
      </c>
      <c r="H7" s="10" t="inlineStr">
        <is>
          <t>[15:0] I, [31:16] Q (S0.15 each, 0x7FFF ≈ 1.0)</t>
        </is>
      </c>
      <c r="I7" s="10" t="inlineStr">
        <is>
          <t>-</t>
        </is>
      </c>
      <c r="J7" s="10" t="inlineStr">
        <is>
          <t>Complex FIR tap 04 coefficient</t>
        </is>
      </c>
      <c r="K7" s="10" t="inlineStr">
        <is>
          <t>-</t>
        </is>
      </c>
      <c r="L7" s="10" t="inlineStr">
        <is>
          <t>in_band_flatness/FIR_coef_unpack_0</t>
        </is>
      </c>
      <c r="M7" s="8" t="inlineStr">
        <is>
          <t>Calibration</t>
        </is>
      </c>
    </row>
    <row r="8">
      <c r="A8" s="8" t="inlineStr">
        <is>
          <t>mem6</t>
        </is>
      </c>
      <c r="B8" s="9" t="inlineStr">
        <is>
          <t>018</t>
        </is>
      </c>
      <c r="C8" s="8">
        <f>"0x"&amp;DEC2HEX(HEX2DEC(Summary!$B$3)+24,8)</f>
        <v/>
      </c>
      <c r="D8" s="10" t="inlineStr">
        <is>
          <t>fir_tap05</t>
        </is>
      </c>
      <c r="E8" s="8" t="inlineStr">
        <is>
          <t>[31:0]</t>
        </is>
      </c>
      <c r="F8" s="8" t="inlineStr">
        <is>
          <t>R/W</t>
        </is>
      </c>
      <c r="G8" s="9" t="inlineStr">
        <is>
          <t>0</t>
        </is>
      </c>
      <c r="H8" s="10" t="inlineStr">
        <is>
          <t>[15:0] I, [31:16] Q (S0.15 each, 0x7FFF ≈ 1.0)</t>
        </is>
      </c>
      <c r="I8" s="10" t="inlineStr">
        <is>
          <t>-</t>
        </is>
      </c>
      <c r="J8" s="10" t="inlineStr">
        <is>
          <t>Complex FIR tap 05 coefficient</t>
        </is>
      </c>
      <c r="K8" s="10" t="inlineStr">
        <is>
          <t>-</t>
        </is>
      </c>
      <c r="L8" s="10" t="inlineStr">
        <is>
          <t>in_band_flatness/FIR_coef_unpack_0</t>
        </is>
      </c>
      <c r="M8" s="8" t="inlineStr">
        <is>
          <t>Calibration</t>
        </is>
      </c>
    </row>
    <row r="9">
      <c r="A9" s="8" t="inlineStr">
        <is>
          <t>mem7</t>
        </is>
      </c>
      <c r="B9" s="9" t="inlineStr">
        <is>
          <t>01C</t>
        </is>
      </c>
      <c r="C9" s="8">
        <f>"0x"&amp;DEC2HEX(HEX2DEC(Summary!$B$3)+28,8)</f>
        <v/>
      </c>
      <c r="D9" s="10" t="inlineStr">
        <is>
          <t>fir_tap06</t>
        </is>
      </c>
      <c r="E9" s="8" t="inlineStr">
        <is>
          <t>[31:0]</t>
        </is>
      </c>
      <c r="F9" s="8" t="inlineStr">
        <is>
          <t>R/W</t>
        </is>
      </c>
      <c r="G9" s="9" t="inlineStr">
        <is>
          <t>0</t>
        </is>
      </c>
      <c r="H9" s="10" t="inlineStr">
        <is>
          <t>[15:0] I, [31:16] Q (S0.15 each, 0x7FFF ≈ 1.0)</t>
        </is>
      </c>
      <c r="I9" s="10" t="inlineStr">
        <is>
          <t>-</t>
        </is>
      </c>
      <c r="J9" s="10" t="inlineStr">
        <is>
          <t>Complex FIR tap 06 coefficient</t>
        </is>
      </c>
      <c r="K9" s="10" t="inlineStr">
        <is>
          <t>-</t>
        </is>
      </c>
      <c r="L9" s="10" t="inlineStr">
        <is>
          <t>in_band_flatness/FIR_coef_unpack_0</t>
        </is>
      </c>
      <c r="M9" s="8" t="inlineStr">
        <is>
          <t>Calibration</t>
        </is>
      </c>
    </row>
    <row r="10">
      <c r="A10" s="8" t="inlineStr">
        <is>
          <t>mem8</t>
        </is>
      </c>
      <c r="B10" s="9" t="inlineStr">
        <is>
          <t>020</t>
        </is>
      </c>
      <c r="C10" s="8">
        <f>"0x"&amp;DEC2HEX(HEX2DEC(Summary!$B$3)+32,8)</f>
        <v/>
      </c>
      <c r="D10" s="10" t="inlineStr">
        <is>
          <t>fir_tap07</t>
        </is>
      </c>
      <c r="E10" s="8" t="inlineStr">
        <is>
          <t>[31:0]</t>
        </is>
      </c>
      <c r="F10" s="8" t="inlineStr">
        <is>
          <t>R/W</t>
        </is>
      </c>
      <c r="G10" s="9" t="inlineStr">
        <is>
          <t>0</t>
        </is>
      </c>
      <c r="H10" s="10" t="inlineStr">
        <is>
          <t>[15:0] I, [31:16] Q (S0.15 each, 0x7FFF ≈ 1.0)</t>
        </is>
      </c>
      <c r="I10" s="10" t="inlineStr">
        <is>
          <t>-</t>
        </is>
      </c>
      <c r="J10" s="10" t="inlineStr">
        <is>
          <t>Complex FIR tap 07 coefficient</t>
        </is>
      </c>
      <c r="K10" s="10" t="inlineStr">
        <is>
          <t>-</t>
        </is>
      </c>
      <c r="L10" s="10" t="inlineStr">
        <is>
          <t>in_band_flatness/FIR_coef_unpack_0</t>
        </is>
      </c>
      <c r="M10" s="8" t="inlineStr">
        <is>
          <t>Calibration</t>
        </is>
      </c>
    </row>
    <row r="11">
      <c r="A11" s="8" t="inlineStr">
        <is>
          <t>mem9</t>
        </is>
      </c>
      <c r="B11" s="9" t="inlineStr">
        <is>
          <t>024</t>
        </is>
      </c>
      <c r="C11" s="8">
        <f>"0x"&amp;DEC2HEX(HEX2DEC(Summary!$B$3)+36,8)</f>
        <v/>
      </c>
      <c r="D11" s="10" t="inlineStr">
        <is>
          <t>fir_tap08</t>
        </is>
      </c>
      <c r="E11" s="8" t="inlineStr">
        <is>
          <t>[31:0]</t>
        </is>
      </c>
      <c r="F11" s="8" t="inlineStr">
        <is>
          <t>R/W</t>
        </is>
      </c>
      <c r="G11" s="9" t="inlineStr">
        <is>
          <t>0</t>
        </is>
      </c>
      <c r="H11" s="10" t="inlineStr">
        <is>
          <t>[15:0] I, [31:16] Q (S0.15 each, 0x7FFF ≈ 1.0)</t>
        </is>
      </c>
      <c r="I11" s="10" t="inlineStr">
        <is>
          <t>-</t>
        </is>
      </c>
      <c r="J11" s="10" t="inlineStr">
        <is>
          <t>Complex FIR tap 08 coefficient</t>
        </is>
      </c>
      <c r="K11" s="10" t="inlineStr">
        <is>
          <t>-</t>
        </is>
      </c>
      <c r="L11" s="10" t="inlineStr">
        <is>
          <t>in_band_flatness/FIR_coef_unpack_0</t>
        </is>
      </c>
      <c r="M11" s="8" t="inlineStr">
        <is>
          <t>Calibration</t>
        </is>
      </c>
    </row>
    <row r="12">
      <c r="A12" s="8" t="inlineStr">
        <is>
          <t>mem10</t>
        </is>
      </c>
      <c r="B12" s="9" t="inlineStr">
        <is>
          <t>028</t>
        </is>
      </c>
      <c r="C12" s="8">
        <f>"0x"&amp;DEC2HEX(HEX2DEC(Summary!$B$3)+40,8)</f>
        <v/>
      </c>
      <c r="D12" s="10" t="inlineStr">
        <is>
          <t>fir_tap09</t>
        </is>
      </c>
      <c r="E12" s="8" t="inlineStr">
        <is>
          <t>[31:0]</t>
        </is>
      </c>
      <c r="F12" s="8" t="inlineStr">
        <is>
          <t>R/W</t>
        </is>
      </c>
      <c r="G12" s="9" t="inlineStr">
        <is>
          <t>0</t>
        </is>
      </c>
      <c r="H12" s="10" t="inlineStr">
        <is>
          <t>[15:0] I, [31:16] Q (S0.15 each, 0x7FFF ≈ 1.0)</t>
        </is>
      </c>
      <c r="I12" s="10" t="inlineStr">
        <is>
          <t>-</t>
        </is>
      </c>
      <c r="J12" s="10" t="inlineStr">
        <is>
          <t>Complex FIR tap 09 coefficient</t>
        </is>
      </c>
      <c r="K12" s="10" t="inlineStr">
        <is>
          <t>-</t>
        </is>
      </c>
      <c r="L12" s="10" t="inlineStr">
        <is>
          <t>in_band_flatness/FIR_coef_unpack_0</t>
        </is>
      </c>
      <c r="M12" s="8" t="inlineStr">
        <is>
          <t>Calibration</t>
        </is>
      </c>
    </row>
    <row r="13">
      <c r="A13" s="8" t="inlineStr">
        <is>
          <t>mem11</t>
        </is>
      </c>
      <c r="B13" s="9" t="inlineStr">
        <is>
          <t>02C</t>
        </is>
      </c>
      <c r="C13" s="8">
        <f>"0x"&amp;DEC2HEX(HEX2DEC(Summary!$B$3)+44,8)</f>
        <v/>
      </c>
      <c r="D13" s="10" t="inlineStr">
        <is>
          <t>fir_tap10</t>
        </is>
      </c>
      <c r="E13" s="8" t="inlineStr">
        <is>
          <t>[31:0]</t>
        </is>
      </c>
      <c r="F13" s="8" t="inlineStr">
        <is>
          <t>R/W</t>
        </is>
      </c>
      <c r="G13" s="9" t="inlineStr">
        <is>
          <t>0</t>
        </is>
      </c>
      <c r="H13" s="10" t="inlineStr">
        <is>
          <t>[15:0] I, [31:16] Q (S0.15 each, 0x7FFF ≈ 1.0)</t>
        </is>
      </c>
      <c r="I13" s="10" t="inlineStr">
        <is>
          <t>-</t>
        </is>
      </c>
      <c r="J13" s="10" t="inlineStr">
        <is>
          <t>Complex FIR tap 10 coefficient</t>
        </is>
      </c>
      <c r="K13" s="10" t="inlineStr">
        <is>
          <t>-</t>
        </is>
      </c>
      <c r="L13" s="10" t="inlineStr">
        <is>
          <t>in_band_flatness/FIR_coef_unpack_0</t>
        </is>
      </c>
      <c r="M13" s="8" t="inlineStr">
        <is>
          <t>Calibration</t>
        </is>
      </c>
    </row>
    <row r="14">
      <c r="A14" s="8" t="inlineStr">
        <is>
          <t>mem12</t>
        </is>
      </c>
      <c r="B14" s="9" t="inlineStr">
        <is>
          <t>030</t>
        </is>
      </c>
      <c r="C14" s="8">
        <f>"0x"&amp;DEC2HEX(HEX2DEC(Summary!$B$3)+48,8)</f>
        <v/>
      </c>
      <c r="D14" s="10" t="inlineStr">
        <is>
          <t>fir_tap11</t>
        </is>
      </c>
      <c r="E14" s="8" t="inlineStr">
        <is>
          <t>[31:0]</t>
        </is>
      </c>
      <c r="F14" s="8" t="inlineStr">
        <is>
          <t>R/W</t>
        </is>
      </c>
      <c r="G14" s="9" t="inlineStr">
        <is>
          <t>0</t>
        </is>
      </c>
      <c r="H14" s="10" t="inlineStr">
        <is>
          <t>[15:0] I, [31:16] Q (S0.15 each, 0x7FFF ≈ 1.0)</t>
        </is>
      </c>
      <c r="I14" s="10" t="inlineStr">
        <is>
          <t>-</t>
        </is>
      </c>
      <c r="J14" s="10" t="inlineStr">
        <is>
          <t>Complex FIR tap 11 coefficient</t>
        </is>
      </c>
      <c r="K14" s="10" t="inlineStr">
        <is>
          <t>-</t>
        </is>
      </c>
      <c r="L14" s="10" t="inlineStr">
        <is>
          <t>in_band_flatness/FIR_coef_unpack_0</t>
        </is>
      </c>
      <c r="M14" s="8" t="inlineStr">
        <is>
          <t>Calibration</t>
        </is>
      </c>
    </row>
    <row r="15">
      <c r="A15" s="8" t="inlineStr">
        <is>
          <t>mem13</t>
        </is>
      </c>
      <c r="B15" s="9" t="inlineStr">
        <is>
          <t>034</t>
        </is>
      </c>
      <c r="C15" s="8">
        <f>"0x"&amp;DEC2HEX(HEX2DEC(Summary!$B$3)+52,8)</f>
        <v/>
      </c>
      <c r="D15" s="10" t="inlineStr">
        <is>
          <t>fir_tap12</t>
        </is>
      </c>
      <c r="E15" s="8" t="inlineStr">
        <is>
          <t>[31:0]</t>
        </is>
      </c>
      <c r="F15" s="8" t="inlineStr">
        <is>
          <t>R/W</t>
        </is>
      </c>
      <c r="G15" s="9" t="inlineStr">
        <is>
          <t>0</t>
        </is>
      </c>
      <c r="H15" s="10" t="inlineStr">
        <is>
          <t>[15:0] I, [31:16] Q (S0.15 each, 0x7FFF ≈ 1.0)</t>
        </is>
      </c>
      <c r="I15" s="10" t="inlineStr">
        <is>
          <t>-</t>
        </is>
      </c>
      <c r="J15" s="10" t="inlineStr">
        <is>
          <t>Complex FIR tap 12 coefficient</t>
        </is>
      </c>
      <c r="K15" s="10" t="inlineStr">
        <is>
          <t>-</t>
        </is>
      </c>
      <c r="L15" s="10" t="inlineStr">
        <is>
          <t>in_band_flatness/FIR_coef_unpack_0</t>
        </is>
      </c>
      <c r="M15" s="8" t="inlineStr">
        <is>
          <t>Calibration</t>
        </is>
      </c>
    </row>
    <row r="16">
      <c r="A16" s="8" t="inlineStr">
        <is>
          <t>mem14</t>
        </is>
      </c>
      <c r="B16" s="9" t="inlineStr">
        <is>
          <t>038</t>
        </is>
      </c>
      <c r="C16" s="8">
        <f>"0x"&amp;DEC2HEX(HEX2DEC(Summary!$B$3)+56,8)</f>
        <v/>
      </c>
      <c r="D16" s="10" t="inlineStr">
        <is>
          <t>fir_tap13</t>
        </is>
      </c>
      <c r="E16" s="8" t="inlineStr">
        <is>
          <t>[31:0]</t>
        </is>
      </c>
      <c r="F16" s="8" t="inlineStr">
        <is>
          <t>R/W</t>
        </is>
      </c>
      <c r="G16" s="9" t="inlineStr">
        <is>
          <t>0</t>
        </is>
      </c>
      <c r="H16" s="10" t="inlineStr">
        <is>
          <t>[15:0] I, [31:16] Q (S0.15 each, 0x7FFF ≈ 1.0)</t>
        </is>
      </c>
      <c r="I16" s="10" t="inlineStr">
        <is>
          <t>-</t>
        </is>
      </c>
      <c r="J16" s="10" t="inlineStr">
        <is>
          <t>Complex FIR tap 13 coefficient</t>
        </is>
      </c>
      <c r="K16" s="10" t="inlineStr">
        <is>
          <t>-</t>
        </is>
      </c>
      <c r="L16" s="10" t="inlineStr">
        <is>
          <t>in_band_flatness/FIR_coef_unpack_0</t>
        </is>
      </c>
      <c r="M16" s="8" t="inlineStr">
        <is>
          <t>Calibration</t>
        </is>
      </c>
    </row>
    <row r="17">
      <c r="A17" s="8" t="inlineStr">
        <is>
          <t>mem15</t>
        </is>
      </c>
      <c r="B17" s="9" t="inlineStr">
        <is>
          <t>03C</t>
        </is>
      </c>
      <c r="C17" s="8">
        <f>"0x"&amp;DEC2HEX(HEX2DEC(Summary!$B$3)+60,8)</f>
        <v/>
      </c>
      <c r="D17" s="10" t="inlineStr">
        <is>
          <t>fir_tap14</t>
        </is>
      </c>
      <c r="E17" s="8" t="inlineStr">
        <is>
          <t>[31:0]</t>
        </is>
      </c>
      <c r="F17" s="8" t="inlineStr">
        <is>
          <t>R/W</t>
        </is>
      </c>
      <c r="G17" s="9" t="inlineStr">
        <is>
          <t>0</t>
        </is>
      </c>
      <c r="H17" s="10" t="inlineStr">
        <is>
          <t>[15:0] I, [31:16] Q (S0.15 each, 0x7FFF ≈ 1.0)</t>
        </is>
      </c>
      <c r="I17" s="10" t="inlineStr">
        <is>
          <t>-</t>
        </is>
      </c>
      <c r="J17" s="10" t="inlineStr">
        <is>
          <t>Complex FIR tap 14 coefficient</t>
        </is>
      </c>
      <c r="K17" s="10" t="inlineStr">
        <is>
          <t>-</t>
        </is>
      </c>
      <c r="L17" s="10" t="inlineStr">
        <is>
          <t>in_band_flatness/FIR_coef_unpack_0</t>
        </is>
      </c>
      <c r="M17" s="8" t="inlineStr">
        <is>
          <t>Calibration</t>
        </is>
      </c>
    </row>
    <row r="18">
      <c r="A18" s="8" t="inlineStr">
        <is>
          <t>mem16</t>
        </is>
      </c>
      <c r="B18" s="9" t="inlineStr">
        <is>
          <t>040</t>
        </is>
      </c>
      <c r="C18" s="8">
        <f>"0x"&amp;DEC2HEX(HEX2DEC(Summary!$B$3)+64,8)</f>
        <v/>
      </c>
      <c r="D18" s="10" t="inlineStr">
        <is>
          <t>fir_tap15</t>
        </is>
      </c>
      <c r="E18" s="8" t="inlineStr">
        <is>
          <t>[31:0]</t>
        </is>
      </c>
      <c r="F18" s="8" t="inlineStr">
        <is>
          <t>R/W</t>
        </is>
      </c>
      <c r="G18" s="9" t="inlineStr">
        <is>
          <t>0</t>
        </is>
      </c>
      <c r="H18" s="10" t="inlineStr">
        <is>
          <t>[15:0] I, [31:16] Q (S0.15 each, 0x7FFF ≈ 1.0)</t>
        </is>
      </c>
      <c r="I18" s="10" t="inlineStr">
        <is>
          <t>-</t>
        </is>
      </c>
      <c r="J18" s="10" t="inlineStr">
        <is>
          <t>Complex FIR tap 15 coefficient</t>
        </is>
      </c>
      <c r="K18" s="10" t="inlineStr">
        <is>
          <t>-</t>
        </is>
      </c>
      <c r="L18" s="10" t="inlineStr">
        <is>
          <t>in_band_flatness/FIR_coef_unpack_0</t>
        </is>
      </c>
      <c r="M18" s="8" t="inlineStr">
        <is>
          <t>Calibration</t>
        </is>
      </c>
    </row>
    <row r="19">
      <c r="A19" s="8" t="inlineStr">
        <is>
          <t>mem17</t>
        </is>
      </c>
      <c r="B19" s="9" t="inlineStr">
        <is>
          <t>044</t>
        </is>
      </c>
      <c r="C19" s="8">
        <f>"0x"&amp;DEC2HEX(HEX2DEC(Summary!$B$3)+68,8)</f>
        <v/>
      </c>
      <c r="D19" s="10" t="inlineStr">
        <is>
          <t>coarse_delay_offset</t>
        </is>
      </c>
      <c r="E19" s="8" t="inlineStr">
        <is>
          <t>[3:0]</t>
        </is>
      </c>
      <c r="F19" s="8" t="inlineStr">
        <is>
          <t>R/W</t>
        </is>
      </c>
      <c r="G19" s="9" t="inlineStr">
        <is>
          <t>0</t>
        </is>
      </c>
      <c r="H19" s="10" t="inlineStr">
        <is>
          <t>unsigned, cycles</t>
        </is>
      </c>
      <c r="I19" s="10" t="inlineStr">
        <is>
          <t>0 ~ 15</t>
        </is>
      </c>
      <c r="J19" s="10" t="inlineStr">
        <is>
          <t>Delay_Cal coarse delay</t>
        </is>
      </c>
      <c r="K19" s="10" t="inlineStr">
        <is>
          <t>Real-time (CDC)</t>
        </is>
      </c>
      <c r="L19" s="10" t="inlineStr">
        <is>
          <t>cal_cdc_0 -&gt; calibration/Delay_Cal_0</t>
        </is>
      </c>
      <c r="M19" s="8" t="inlineStr">
        <is>
          <t>Calibration</t>
        </is>
      </c>
    </row>
    <row r="20">
      <c r="A20" s="8" t="inlineStr">
        <is>
          <t>mem18</t>
        </is>
      </c>
      <c r="B20" s="9" t="inlineStr">
        <is>
          <t>048</t>
        </is>
      </c>
      <c r="C20" s="8">
        <f>"0x"&amp;DEC2HEX(HEX2DEC(Summary!$B$3)+72,8)</f>
        <v/>
      </c>
      <c r="D20" s="10" t="inlineStr">
        <is>
          <t>fractional_delay_offset</t>
        </is>
      </c>
      <c r="E20" s="8" t="inlineStr">
        <is>
          <t>[2:0]</t>
        </is>
      </c>
      <c r="F20" s="8" t="inlineStr">
        <is>
          <t>R/W</t>
        </is>
      </c>
      <c r="G20" s="9" t="inlineStr">
        <is>
          <t>0</t>
        </is>
      </c>
      <c r="H20" s="10" t="inlineStr">
        <is>
          <t>unsigned, samples</t>
        </is>
      </c>
      <c r="I20" s="10" t="inlineStr">
        <is>
          <t>0 ~ 4</t>
        </is>
      </c>
      <c r="J20" s="10" t="inlineStr">
        <is>
          <t>Delay_Cal fractional delay</t>
        </is>
      </c>
      <c r="K20" s="10" t="inlineStr">
        <is>
          <t>Real-time (CDC)</t>
        </is>
      </c>
      <c r="L20" s="10" t="inlineStr">
        <is>
          <t>cal_cdc_0 -&gt; calibration/Delay_Cal_0</t>
        </is>
      </c>
      <c r="M20" s="8" t="inlineStr">
        <is>
          <t>Calibration</t>
        </is>
      </c>
    </row>
    <row r="21">
      <c r="A21" s="8" t="inlineStr">
        <is>
          <t>mem19</t>
        </is>
      </c>
      <c r="B21" s="9" t="inlineStr">
        <is>
          <t>04C</t>
        </is>
      </c>
      <c r="C21" s="8">
        <f>"0x"&amp;DEC2HEX(HEX2DEC(Summary!$B$3)+76,8)</f>
        <v/>
      </c>
      <c r="D21" s="10" t="inlineStr">
        <is>
          <t>phase_offset</t>
        </is>
      </c>
      <c r="E21" s="8" t="inlineStr">
        <is>
          <t>[15:0]</t>
        </is>
      </c>
      <c r="F21" s="8" t="inlineStr">
        <is>
          <t>R/W</t>
        </is>
      </c>
      <c r="G21" s="9" t="inlineStr">
        <is>
          <t>0</t>
        </is>
      </c>
      <c r="H21" s="10" t="inlineStr">
        <is>
          <t>CORDIC phase</t>
        </is>
      </c>
      <c r="I21" s="10" t="inlineStr">
        <is>
          <t>-</t>
        </is>
      </c>
      <c r="J21" s="10" t="inlineStr">
        <is>
          <t>Phase_Cal phase offset (cordic_0~4)</t>
        </is>
      </c>
      <c r="K21" s="10" t="inlineStr">
        <is>
          <t>Real-time (CDC)</t>
        </is>
      </c>
      <c r="L21" s="10" t="inlineStr">
        <is>
          <t>cal_cdc_0 -&gt; calibration/cordic_0~4</t>
        </is>
      </c>
      <c r="M21" s="8" t="inlineStr">
        <is>
          <t>Calibration</t>
        </is>
      </c>
    </row>
    <row r="22">
      <c r="A22" s="11" t="inlineStr">
        <is>
          <t>mem20</t>
        </is>
      </c>
      <c r="B22" s="12" t="inlineStr">
        <is>
          <t>050</t>
        </is>
      </c>
      <c r="C22" s="11">
        <f>"0x"&amp;DEC2HEX(HEX2DEC(Summary!$B$3)+80,8)</f>
        <v/>
      </c>
      <c r="D22" s="13" t="inlineStr">
        <is>
          <t>gain_index_mode_sel</t>
        </is>
      </c>
      <c r="E22" s="11" t="inlineStr">
        <is>
          <t>[0]</t>
        </is>
      </c>
      <c r="F22" s="11" t="inlineStr">
        <is>
          <t>R/W</t>
        </is>
      </c>
      <c r="G22" s="12" t="inlineStr">
        <is>
          <t>0</t>
        </is>
      </c>
      <c r="H22" s="13" t="inlineStr">
        <is>
          <t>bit</t>
        </is>
      </c>
      <c r="I22" s="13" t="inlineStr">
        <is>
          <t>0: TXAGC, 1: manual</t>
        </is>
      </c>
      <c r="J22" s="13" t="inlineStr">
        <is>
          <t>Gain_Compensation index source: 0 = gain_index_tx (TXAGC digital), 1 = gain_index_manual</t>
        </is>
      </c>
      <c r="K22" s="13" t="inlineStr">
        <is>
          <t>Real-time (CDC)</t>
        </is>
      </c>
      <c r="L22" s="13" t="inlineStr">
        <is>
          <t>cal_cdc_0 -&gt; gain_index_mux_0</t>
        </is>
      </c>
      <c r="M22" s="11" t="inlineStr">
        <is>
          <t>Gain Index</t>
        </is>
      </c>
    </row>
    <row r="23">
      <c r="A23" s="11" t="inlineStr">
        <is>
          <t>mem21</t>
        </is>
      </c>
      <c r="B23" s="12" t="inlineStr">
        <is>
          <t>054</t>
        </is>
      </c>
      <c r="C23" s="11">
        <f>"0x"&amp;DEC2HEX(HEX2DEC(Summary!$B$3)+84,8)</f>
        <v/>
      </c>
      <c r="D23" s="13" t="inlineStr">
        <is>
          <t>gain_index_manual</t>
        </is>
      </c>
      <c r="E23" s="11" t="inlineStr">
        <is>
          <t>[10:0]</t>
        </is>
      </c>
      <c r="F23" s="11" t="inlineStr">
        <is>
          <t>R/W</t>
        </is>
      </c>
      <c r="G23" s="12" t="inlineStr">
        <is>
          <t>0</t>
        </is>
      </c>
      <c r="H23" s="13" t="inlineStr">
        <is>
          <t>S6.4, 1/16 dB</t>
        </is>
      </c>
      <c r="I23" s="13" t="inlineStr">
        <is>
          <t>-64 ~ +63.9375 dB</t>
        </is>
      </c>
      <c r="J23" s="13" t="inlineStr">
        <is>
          <t>Manual gain index (mode_sel = 1), offsets not added</t>
        </is>
      </c>
      <c r="K23" s="13" t="inlineStr">
        <is>
          <t>Real-time (CDC)</t>
        </is>
      </c>
      <c r="L23" s="13" t="inlineStr">
        <is>
          <t>cal_cdc_0 -&gt; gain_index_mux_0</t>
        </is>
      </c>
      <c r="M23" s="11" t="inlineStr">
        <is>
          <t>Gain Index</t>
        </is>
      </c>
    </row>
    <row r="24">
      <c r="A24" s="11" t="inlineStr">
        <is>
          <t>mem22</t>
        </is>
      </c>
      <c r="B24" s="12" t="inlineStr">
        <is>
          <t>058</t>
        </is>
      </c>
      <c r="C24" s="11">
        <f>"0x"&amp;DEC2HEX(HEX2DEC(Summary!$B$3)+88,8)</f>
        <v/>
      </c>
      <c r="D24" s="13" t="inlineStr">
        <is>
          <t>gain_index_ch_offset</t>
        </is>
      </c>
      <c r="E24" s="11" t="inlineStr">
        <is>
          <t>[8:0]</t>
        </is>
      </c>
      <c r="F24" s="11" t="inlineStr">
        <is>
          <t>R/W</t>
        </is>
      </c>
      <c r="G24" s="12" t="inlineStr">
        <is>
          <t>0</t>
        </is>
      </c>
      <c r="H24" s="13" t="inlineStr">
        <is>
          <t>S4.4, 1/16 dB</t>
        </is>
      </c>
      <c r="I24" s="13" t="inlineStr">
        <is>
          <t>-16 ~ +15.9375 dB</t>
        </is>
      </c>
      <c r="J24" s="13" t="inlineStr">
        <is>
          <t>Channel magnitude trim (+ = gain), in the TXAGC target (analog first, residual digital)</t>
        </is>
      </c>
      <c r="K24" s="13" t="inlineStr">
        <is>
          <t>Real-time</t>
        </is>
      </c>
      <c r="L24" s="13" t="inlineStr">
        <is>
          <t>agc_emu/agc_cdc_0 -&gt; txagc_0</t>
        </is>
      </c>
      <c r="M24" s="11" t="inlineStr">
        <is>
          <t>Gain Index</t>
        </is>
      </c>
    </row>
    <row r="25">
      <c r="A25" s="11" t="inlineStr">
        <is>
          <t>mem23</t>
        </is>
      </c>
      <c r="B25" s="12" t="inlineStr">
        <is>
          <t>05C</t>
        </is>
      </c>
      <c r="C25" s="11">
        <f>"0x"&amp;DEC2HEX(HEX2DEC(Summary!$B$3)+92,8)</f>
        <v/>
      </c>
      <c r="D25" s="13" t="inlineStr">
        <is>
          <t>gain_index_rf_freq_offset</t>
        </is>
      </c>
      <c r="E25" s="11" t="inlineStr">
        <is>
          <t>[7:0]</t>
        </is>
      </c>
      <c r="F25" s="11" t="inlineStr">
        <is>
          <t>R/W</t>
        </is>
      </c>
      <c r="G25" s="12" t="inlineStr">
        <is>
          <t>0</t>
        </is>
      </c>
      <c r="H25" s="13" t="inlineStr">
        <is>
          <t>S3.4, 1/16 dB</t>
        </is>
      </c>
      <c r="I25" s="13" t="inlineStr">
        <is>
          <t>-8 ~ +7.9375 dB</t>
        </is>
      </c>
      <c r="J25" s="13" t="inlineStr">
        <is>
          <t>RF-frequency magnitude trim (+ = gain), in the TXAGC target</t>
        </is>
      </c>
      <c r="K25" s="13" t="inlineStr">
        <is>
          <t>Real-time</t>
        </is>
      </c>
      <c r="L25" s="13" t="inlineStr">
        <is>
          <t>agc_emu/agc_cdc_0 -&gt; txagc_0</t>
        </is>
      </c>
      <c r="M25" s="11" t="inlineStr">
        <is>
          <t>Gain Index</t>
        </is>
      </c>
    </row>
    <row r="26">
      <c r="A26" s="11" t="inlineStr">
        <is>
          <t>mem24</t>
        </is>
      </c>
      <c r="B26" s="12" t="inlineStr">
        <is>
          <t>060</t>
        </is>
      </c>
      <c r="C26" s="11">
        <f>"0x"&amp;DEC2HEX(HEX2DEC(Summary!$B$3)+96,8)</f>
        <v/>
      </c>
      <c r="D26" s="13" t="inlineStr">
        <is>
          <t>gain_index_temperature_offset</t>
        </is>
      </c>
      <c r="E26" s="11" t="inlineStr">
        <is>
          <t>[7:0]</t>
        </is>
      </c>
      <c r="F26" s="11" t="inlineStr">
        <is>
          <t>R/W</t>
        </is>
      </c>
      <c r="G26" s="12" t="inlineStr">
        <is>
          <t>0</t>
        </is>
      </c>
      <c r="H26" s="13" t="inlineStr">
        <is>
          <t>S3.4, 1/16 dB</t>
        </is>
      </c>
      <c r="I26" s="13" t="inlineStr">
        <is>
          <t>-8 ~ +7.9375 dB</t>
        </is>
      </c>
      <c r="J26" s="13" t="inlineStr">
        <is>
          <t>Temperature magnitude trim (+ = gain), in the TXAGC target</t>
        </is>
      </c>
      <c r="K26" s="13" t="inlineStr">
        <is>
          <t>Real-time</t>
        </is>
      </c>
      <c r="L26" s="13" t="inlineStr">
        <is>
          <t>agc_emu/agc_cdc_0 -&gt; txagc_0</t>
        </is>
      </c>
      <c r="M26" s="11" t="inlineStr">
        <is>
          <t>Gain Index</t>
        </is>
      </c>
    </row>
    <row r="27">
      <c r="A27" s="11" t="inlineStr">
        <is>
          <t>mem25</t>
        </is>
      </c>
      <c r="B27" s="12" t="inlineStr">
        <is>
          <t>064</t>
        </is>
      </c>
      <c r="C27" s="11">
        <f>"0x"&amp;DEC2HEX(HEX2DEC(Summary!$B$3)+100,8)</f>
        <v/>
      </c>
      <c r="D27" s="13" t="inlineStr">
        <is>
          <t>dac_output_ref_dbm</t>
        </is>
      </c>
      <c r="E27" s="11" t="inlineStr">
        <is>
          <t>[10:0]</t>
        </is>
      </c>
      <c r="F27" s="11" t="inlineStr">
        <is>
          <t>R/W</t>
        </is>
      </c>
      <c r="G27" s="12" t="inlineStr">
        <is>
          <t>670 (-25)</t>
        </is>
      </c>
      <c r="H27" s="13" t="inlineStr">
        <is>
          <t>S6.4 dBm</t>
        </is>
      </c>
      <c r="I27" s="13" t="inlineStr">
        <is>
          <t>HW limit +10 ~ -40 dBm</t>
        </is>
      </c>
      <c r="J27" s="13" t="inlineStr">
        <is>
          <t>DAC output measured with goal = goal_ref_dbfs (TXAGC Manual mode reference)</t>
        </is>
      </c>
      <c r="K27" s="13" t="inlineStr">
        <is>
          <t>Real-time</t>
        </is>
      </c>
      <c r="L27" s="13" t="inlineStr">
        <is>
          <t>agc_emu/agc_cdc_0 -&gt; txagc_0</t>
        </is>
      </c>
      <c r="M27" s="11" t="inlineStr">
        <is>
          <t>Gain Index</t>
        </is>
      </c>
    </row>
    <row r="28">
      <c r="A28" s="11" t="inlineStr">
        <is>
          <t>mem26</t>
        </is>
      </c>
      <c r="B28" s="12" t="inlineStr">
        <is>
          <t>068</t>
        </is>
      </c>
      <c r="C28" s="11">
        <f>"0x"&amp;DEC2HEX(HEX2DEC(Summary!$B$3)+104,8)</f>
        <v/>
      </c>
      <c r="D28" s="13" t="inlineStr">
        <is>
          <t>goal_ref_dbfs</t>
        </is>
      </c>
      <c r="E28" s="11" t="inlineStr">
        <is>
          <t>[10:0]</t>
        </is>
      </c>
      <c r="F28" s="11" t="inlineStr">
        <is>
          <t>R/W</t>
        </is>
      </c>
      <c r="G28" s="12" t="inlineStr">
        <is>
          <t>7A0 (-6)</t>
        </is>
      </c>
      <c r="H28" s="13" t="inlineStr">
        <is>
          <t>S6.4 dBFS (16384 = 0 dBFS)</t>
        </is>
      </c>
      <c r="I28" s="13" t="inlineStr">
        <is>
          <t>-64 ~ +63.9375 dB</t>
        </is>
      </c>
      <c r="J28" s="13" t="inlineStr">
        <is>
          <t>Goal (dBFS) used when dac_output_ref_dbm was measured; goal_rel_db = goal_dBFS - goal_ref_dbfs</t>
        </is>
      </c>
      <c r="K28" s="13" t="inlineStr">
        <is>
          <t>Real-time (CDC)</t>
        </is>
      </c>
      <c r="L28" s="13" t="inlineStr">
        <is>
          <t>cal_cdc_0 -&gt; power_fit_top/power_fit_db_0</t>
        </is>
      </c>
      <c r="M28" s="11" t="inlineStr">
        <is>
          <t>Gain Index</t>
        </is>
      </c>
    </row>
    <row r="29">
      <c r="A29" s="11" t="inlineStr">
        <is>
          <t>mem27</t>
        </is>
      </c>
      <c r="B29" s="12" t="inlineStr">
        <is>
          <t>06C</t>
        </is>
      </c>
      <c r="C29" s="11">
        <f>"0x"&amp;DEC2HEX(HEX2DEC(Summary!$B$3)+108,8)</f>
        <v/>
      </c>
      <c r="D29" s="13" t="inlineStr">
        <is>
          <t>agc_reg5</t>
        </is>
      </c>
      <c r="E29" s="11" t="inlineStr">
        <is>
          <t>[7:0]</t>
        </is>
      </c>
      <c r="F29" s="11" t="inlineStr">
        <is>
          <t>R/W</t>
        </is>
      </c>
      <c r="G29" s="12" t="inlineStr">
        <is>
          <t>80</t>
        </is>
      </c>
      <c r="H29" s="13" t="inlineStr">
        <is>
          <t>bits</t>
        </is>
      </c>
      <c r="I29" s="13" t="inlineStr">
        <is>
          <t>[7] TXRX_SW: 0 TX, 1 RX; [6:2] filter; [1:0] PA on = 11</t>
        </is>
      </c>
      <c r="J29" s="13" t="inlineStr">
        <is>
          <t>Reg5 byte (595 QA~QH). [7] TXRX_SW = AGC mode source; [6:2] Filter {Vc2, Vc1, Vc0, Vc3, Vc4}; [1] PA_VC_D, [0] PA_VC_G</t>
        </is>
      </c>
      <c r="K29" s="13" t="inlineStr">
        <is>
          <t>Real-time (bypass: agc_bypass_sr_update[1])</t>
        </is>
      </c>
      <c r="L29" s="13" t="inlineStr">
        <is>
          <t>agc_emu/agc_cdc_0 -&gt; agc_mode_ctrl_0 / sr_src_mux_0</t>
        </is>
      </c>
      <c r="M29" s="11" t="inlineStr">
        <is>
          <t>AGC_EMU</t>
        </is>
      </c>
    </row>
    <row r="30">
      <c r="A30" s="11" t="inlineStr">
        <is>
          <t>mem28</t>
        </is>
      </c>
      <c r="B30" s="12" t="inlineStr">
        <is>
          <t>070</t>
        </is>
      </c>
      <c r="C30" s="11">
        <f>"0x"&amp;DEC2HEX(HEX2DEC(Summary!$B$3)+112,8)</f>
        <v/>
      </c>
      <c r="D30" s="13" t="inlineStr">
        <is>
          <t>agc_bypass_agc</t>
        </is>
      </c>
      <c r="E30" s="11" t="inlineStr">
        <is>
          <t>[0]</t>
        </is>
      </c>
      <c r="F30" s="11" t="inlineStr">
        <is>
          <t>R/W</t>
        </is>
      </c>
      <c r="G30" s="12" t="inlineStr">
        <is>
          <t>0</t>
        </is>
      </c>
      <c r="H30" s="13" t="inlineStr">
        <is>
          <t>bit</t>
        </is>
      </c>
      <c r="I30" s="13" t="inlineStr">
        <is>
          <t>0: AGC, 1: bypass</t>
        </is>
      </c>
      <c r="J30" s="13" t="inlineStr">
        <is>
          <t>1: AGC paused; TX attenuator = agc_bypass_tx_att_state, RX = dummy 0 dB, digital comp = 0; SR sent only by agc_bypass_sr_update</t>
        </is>
      </c>
      <c r="K30" s="13" t="inlineStr">
        <is>
          <t>Real-time</t>
        </is>
      </c>
      <c r="L30" s="13" t="inlineStr">
        <is>
          <t>agc_emu/agc_cdc_0</t>
        </is>
      </c>
      <c r="M30" s="11" t="inlineStr">
        <is>
          <t>AGC_EMU</t>
        </is>
      </c>
    </row>
    <row r="31">
      <c r="A31" s="11" t="inlineStr">
        <is>
          <t>mem29</t>
        </is>
      </c>
      <c r="B31" s="12" t="inlineStr">
        <is>
          <t>074</t>
        </is>
      </c>
      <c r="C31" s="11">
        <f>"0x"&amp;DEC2HEX(HEX2DEC(Summary!$B$3)+116,8)</f>
        <v/>
      </c>
      <c r="D31" s="13" t="inlineStr">
        <is>
          <t>agc_bypass_tx_att_state</t>
        </is>
      </c>
      <c r="E31" s="11" t="inlineStr">
        <is>
          <t>[4:0]</t>
        </is>
      </c>
      <c r="F31" s="11" t="inlineStr">
        <is>
          <t>R/W</t>
        </is>
      </c>
      <c r="G31" s="12" t="inlineStr">
        <is>
          <t>0</t>
        </is>
      </c>
      <c r="H31" s="13" t="inlineStr">
        <is>
          <t>unsigned state</t>
        </is>
      </c>
      <c r="I31" s="13" t="inlineStr">
        <is>
          <t>0 ~ 27 (0 = 130 dB ... 27 = 5 dB)</t>
        </is>
      </c>
      <c r="J31" s="13" t="inlineStr">
        <is>
          <t>TX analog attenuator state in bypass</t>
        </is>
      </c>
      <c r="K31" s="13" t="inlineStr">
        <is>
          <t>Bypass trigger</t>
        </is>
      </c>
      <c r="L31" s="13" t="inlineStr">
        <is>
          <t>agc_emu/agc_cdc_0 -&gt; txagc_0</t>
        </is>
      </c>
      <c r="M31" s="11" t="inlineStr">
        <is>
          <t>AGC_EMU</t>
        </is>
      </c>
    </row>
    <row r="32">
      <c r="A32" s="11" t="inlineStr">
        <is>
          <t>mem30</t>
        </is>
      </c>
      <c r="B32" s="12" t="inlineStr">
        <is>
          <t>078</t>
        </is>
      </c>
      <c r="C32" s="11">
        <f>"0x"&amp;DEC2HEX(HEX2DEC(Summary!$B$3)+120,8)</f>
        <v/>
      </c>
      <c r="D32" s="13" t="inlineStr">
        <is>
          <t>agc_bypass_sr_update</t>
        </is>
      </c>
      <c r="E32" s="11" t="inlineStr">
        <is>
          <t>[1:0]</t>
        </is>
      </c>
      <c r="F32" s="11" t="inlineStr">
        <is>
          <t>R/W</t>
        </is>
      </c>
      <c r="G32" s="12" t="inlineStr">
        <is>
          <t>0</t>
        </is>
      </c>
      <c r="H32" s="13" t="inlineStr">
        <is>
          <t>bits, rising edge</t>
        </is>
      </c>
      <c r="I32" s="13" t="inlineStr">
        <is>
          <t>write 1 then 0 (0x3 = all 5 registers)</t>
        </is>
      </c>
      <c r="J32" s="13" t="inlineStr">
        <is>
          <t>Bypass only. [0] send Reg1~4, [1] send Reg5</t>
        </is>
      </c>
      <c r="K32" s="13" t="inlineStr">
        <is>
          <t>-</t>
        </is>
      </c>
      <c r="L32" s="13" t="inlineStr">
        <is>
          <t>agc_emu/agc_cdc_0 -&gt; sr_src_mux_0</t>
        </is>
      </c>
      <c r="M32" s="11" t="inlineStr">
        <is>
          <t>AGC_EMU</t>
        </is>
      </c>
    </row>
    <row r="33">
      <c r="A33" s="11" t="inlineStr">
        <is>
          <t>mem31</t>
        </is>
      </c>
      <c r="B33" s="12" t="inlineStr">
        <is>
          <t>07C</t>
        </is>
      </c>
      <c r="C33" s="11">
        <f>"0x"&amp;DEC2HEX(HEX2DEC(Summary!$B$3)+124,8)</f>
        <v/>
      </c>
      <c r="D33" s="13" t="inlineStr">
        <is>
          <t>agc_manual_tx_att_en</t>
        </is>
      </c>
      <c r="E33" s="11" t="inlineStr">
        <is>
          <t>[0]</t>
        </is>
      </c>
      <c r="F33" s="11" t="inlineStr">
        <is>
          <t>R/W</t>
        </is>
      </c>
      <c r="G33" s="12" t="inlineStr">
        <is>
          <t>0</t>
        </is>
      </c>
      <c r="H33" s="13" t="inlineStr">
        <is>
          <t>bit</t>
        </is>
      </c>
      <c r="I33" s="13" t="inlineStr">
        <is>
          <t>0: formula, 1: manual</t>
        </is>
      </c>
      <c r="J33" s="13" t="inlineStr">
        <is>
          <t>TX target attenuation = agc_manual_tx_att_db (other TX inputs ignored)</t>
        </is>
      </c>
      <c r="K33" s="13" t="inlineStr">
        <is>
          <t>Real-time</t>
        </is>
      </c>
      <c r="L33" s="13" t="inlineStr">
        <is>
          <t>agc_emu/agc_cdc_0 -&gt; txagc_0</t>
        </is>
      </c>
      <c r="M33" s="11" t="inlineStr">
        <is>
          <t>AGC_EMU</t>
        </is>
      </c>
    </row>
    <row r="34">
      <c r="A34" s="11" t="inlineStr">
        <is>
          <t>mem32</t>
        </is>
      </c>
      <c r="B34" s="12" t="inlineStr">
        <is>
          <t>080</t>
        </is>
      </c>
      <c r="C34" s="11">
        <f>"0x"&amp;DEC2HEX(HEX2DEC(Summary!$B$3)+128,8)</f>
        <v/>
      </c>
      <c r="D34" s="13" t="inlineStr">
        <is>
          <t>agc_manual_tx_att_db</t>
        </is>
      </c>
      <c r="E34" s="11" t="inlineStr">
        <is>
          <t>[7:0]</t>
        </is>
      </c>
      <c r="F34" s="11" t="inlineStr">
        <is>
          <t>R/W</t>
        </is>
      </c>
      <c r="G34" s="12" t="inlineStr">
        <is>
          <t>0</t>
        </is>
      </c>
      <c r="H34" s="13" t="inlineStr">
        <is>
          <t>unsigned, 1 dB</t>
        </is>
      </c>
      <c r="I34" s="13" t="inlineStr">
        <is>
          <t>5 ~ 130</t>
        </is>
      </c>
      <c r="J34" s="13" t="inlineStr">
        <is>
          <t>Manual TX target attenuation</t>
        </is>
      </c>
      <c r="K34" s="13" t="inlineStr">
        <is>
          <t>Real-time</t>
        </is>
      </c>
      <c r="L34" s="13" t="inlineStr">
        <is>
          <t>agc_emu/agc_cdc_0 -&gt; txagc_0</t>
        </is>
      </c>
      <c r="M34" s="11" t="inlineStr">
        <is>
          <t>AGC_EMU</t>
        </is>
      </c>
    </row>
    <row r="35">
      <c r="A35" s="11" t="inlineStr">
        <is>
          <t>mem33</t>
        </is>
      </c>
      <c r="B35" s="12" t="inlineStr">
        <is>
          <t>084</t>
        </is>
      </c>
      <c r="C35" s="11">
        <f>"0x"&amp;DEC2HEX(HEX2DEC(Summary!$B$3)+132,8)</f>
        <v/>
      </c>
      <c r="D35" s="13" t="inlineStr">
        <is>
          <t>agc_target_power</t>
        </is>
      </c>
      <c r="E35" s="11" t="inlineStr">
        <is>
          <t>[7:0]</t>
        </is>
      </c>
      <c r="F35" s="11" t="inlineStr">
        <is>
          <t>R/W</t>
        </is>
      </c>
      <c r="G35" s="12" t="inlineStr">
        <is>
          <t>0</t>
        </is>
      </c>
      <c r="H35" s="13" t="inlineStr">
        <is>
          <t>signed, 1 dBm</t>
        </is>
      </c>
      <c r="I35" s="13" t="inlineStr">
        <is>
          <t>-128 ~ +127 dBm</t>
        </is>
      </c>
      <c r="J35" s="13" t="inlineStr">
        <is>
          <t>Manual mode target output power (e.g. 0xD8 = -40 dBm)</t>
        </is>
      </c>
      <c r="K35" s="13" t="inlineStr">
        <is>
          <t>Real-time</t>
        </is>
      </c>
      <c r="L35" s="13" t="inlineStr">
        <is>
          <t>agc_emu/agc_cdc_0 -&gt; txagc_0</t>
        </is>
      </c>
      <c r="M35" s="11" t="inlineStr">
        <is>
          <t>AGC_EMU</t>
        </is>
      </c>
    </row>
    <row r="36">
      <c r="A36" s="11" t="inlineStr">
        <is>
          <t>mem34</t>
        </is>
      </c>
      <c r="B36" s="12" t="inlineStr">
        <is>
          <t>088</t>
        </is>
      </c>
      <c r="C36" s="11">
        <f>"0x"&amp;DEC2HEX(HEX2DEC(Summary!$B$3)+136,8)</f>
        <v/>
      </c>
      <c r="D36" s="13" t="inlineStr">
        <is>
          <t>agc_linear_mode_offset</t>
        </is>
      </c>
      <c r="E36" s="11" t="inlineStr">
        <is>
          <t>[11:0]</t>
        </is>
      </c>
      <c r="F36" s="11" t="inlineStr">
        <is>
          <t>R/W</t>
        </is>
      </c>
      <c r="G36" s="12" t="inlineStr">
        <is>
          <t>0</t>
        </is>
      </c>
      <c r="H36" s="13" t="inlineStr">
        <is>
          <t>signed, 1/16 dB</t>
        </is>
      </c>
      <c r="I36" s="13" t="inlineStr">
        <is>
          <t>-128 ~ +127.9375 dB</t>
        </is>
      </c>
      <c r="J36" s="13" t="inlineStr">
        <is>
          <t>Linear mode offset</t>
        </is>
      </c>
      <c r="K36" s="13" t="inlineStr">
        <is>
          <t>Real-time</t>
        </is>
      </c>
      <c r="L36" s="13" t="inlineStr">
        <is>
          <t>agc_emu/agc_cdc_0 -&gt; txagc_0</t>
        </is>
      </c>
      <c r="M36" s="11" t="inlineStr">
        <is>
          <t>AGC_EMU</t>
        </is>
      </c>
    </row>
    <row r="37">
      <c r="A37" s="11" t="inlineStr">
        <is>
          <t>mem35</t>
        </is>
      </c>
      <c r="B37" s="12" t="inlineStr">
        <is>
          <t>08C</t>
        </is>
      </c>
      <c r="C37" s="11">
        <f>"0x"&amp;DEC2HEX(HEX2DEC(Summary!$B$3)+140,8)</f>
        <v/>
      </c>
      <c r="D37" s="13" t="inlineStr">
        <is>
          <t>agc_manual_mode_offset</t>
        </is>
      </c>
      <c r="E37" s="11" t="inlineStr">
        <is>
          <t>[11:0]</t>
        </is>
      </c>
      <c r="F37" s="11" t="inlineStr">
        <is>
          <t>R/W</t>
        </is>
      </c>
      <c r="G37" s="12" t="inlineStr">
        <is>
          <t>0</t>
        </is>
      </c>
      <c r="H37" s="13" t="inlineStr">
        <is>
          <t>signed, 1/16 dB</t>
        </is>
      </c>
      <c r="I37" s="13" t="inlineStr">
        <is>
          <t>-128 ~ +127.9375 dB</t>
        </is>
      </c>
      <c r="J37" s="13" t="inlineStr">
        <is>
          <t>Manual mode offset</t>
        </is>
      </c>
      <c r="K37" s="13" t="inlineStr">
        <is>
          <t>Real-time</t>
        </is>
      </c>
      <c r="L37" s="13" t="inlineStr">
        <is>
          <t>agc_emu/agc_cdc_0 -&gt; txagc_0</t>
        </is>
      </c>
      <c r="M37" s="11" t="inlineStr">
        <is>
          <t>AGC_EMU</t>
        </is>
      </c>
    </row>
    <row r="38">
      <c r="A38" s="11" t="inlineStr">
        <is>
          <t>mem36</t>
        </is>
      </c>
      <c r="B38" s="12" t="inlineStr">
        <is>
          <t>090</t>
        </is>
      </c>
      <c r="C38" s="11">
        <f>"0x"&amp;DEC2HEX(HEX2DEC(Summary!$B$3)+144,8)</f>
        <v/>
      </c>
      <c r="D38" s="13" t="inlineStr">
        <is>
          <t>agc_manual_rx_att_en</t>
        </is>
      </c>
      <c r="E38" s="11" t="inlineStr">
        <is>
          <t>[0]</t>
        </is>
      </c>
      <c r="F38" s="11" t="inlineStr">
        <is>
          <t>R/W</t>
        </is>
      </c>
      <c r="G38" s="12" t="inlineStr">
        <is>
          <t>0</t>
        </is>
      </c>
      <c r="H38" s="13" t="inlineStr">
        <is>
          <t>bit</t>
        </is>
      </c>
      <c r="I38" s="13" t="inlineStr">
        <is>
          <t>0: RXAGC, 1: manual</t>
        </is>
      </c>
      <c r="J38" s="13" t="inlineStr">
        <is>
          <t>Use agc_manual_rx_att_state instead of the RXAGC result (RX mode)</t>
        </is>
      </c>
      <c r="K38" s="13" t="inlineStr">
        <is>
          <t>Real-time</t>
        </is>
      </c>
      <c r="L38" s="13" t="inlineStr">
        <is>
          <t>agc_emu/agc_cdc_0 -&gt; rxagc_0</t>
        </is>
      </c>
      <c r="M38" s="11" t="inlineStr">
        <is>
          <t>AGC_EMU</t>
        </is>
      </c>
    </row>
    <row r="39">
      <c r="A39" s="11" t="inlineStr">
        <is>
          <t>mem37</t>
        </is>
      </c>
      <c r="B39" s="12" t="inlineStr">
        <is>
          <t>094</t>
        </is>
      </c>
      <c r="C39" s="11">
        <f>"0x"&amp;DEC2HEX(HEX2DEC(Summary!$B$3)+148,8)</f>
        <v/>
      </c>
      <c r="D39" s="13" t="inlineStr">
        <is>
          <t>agc_manual_rx_att_state</t>
        </is>
      </c>
      <c r="E39" s="11" t="inlineStr">
        <is>
          <t>[2:0]</t>
        </is>
      </c>
      <c r="F39" s="11" t="inlineStr">
        <is>
          <t>R/W</t>
        </is>
      </c>
      <c r="G39" s="12" t="inlineStr">
        <is>
          <t>0</t>
        </is>
      </c>
      <c r="H39" s="13" t="inlineStr">
        <is>
          <t>unsigned state</t>
        </is>
      </c>
      <c r="I39" s="13" t="inlineStr">
        <is>
          <t>0 ~ 6 (0 ~ 60 dB)</t>
        </is>
      </c>
      <c r="J39" s="13" t="inlineStr">
        <is>
          <t>Manual RX attenuation state</t>
        </is>
      </c>
      <c r="K39" s="13" t="inlineStr">
        <is>
          <t>Real-time</t>
        </is>
      </c>
      <c r="L39" s="13" t="inlineStr">
        <is>
          <t>agc_emu/agc_cdc_0 -&gt; rxagc_0</t>
        </is>
      </c>
      <c r="M39" s="11" t="inlineStr">
        <is>
          <t>AGC_EMU</t>
        </is>
      </c>
    </row>
    <row r="40">
      <c r="A40" s="8" t="inlineStr">
        <is>
          <t>mem38</t>
        </is>
      </c>
      <c r="B40" s="9" t="inlineStr">
        <is>
          <t>098</t>
        </is>
      </c>
      <c r="C40" s="8">
        <f>"0x"&amp;DEC2HEX(HEX2DEC(Summary!$B$3)+152,8)</f>
        <v/>
      </c>
      <c r="D40" s="10" t="inlineStr">
        <is>
          <t>bypass_axis_iq</t>
        </is>
      </c>
      <c r="E40" s="8" t="inlineStr">
        <is>
          <t>[0]</t>
        </is>
      </c>
      <c r="F40" s="8" t="inlineStr">
        <is>
          <t>R/W</t>
        </is>
      </c>
      <c r="G40" s="9" t="inlineStr">
        <is>
          <t>0</t>
        </is>
      </c>
      <c r="H40" s="10" t="inlineStr">
        <is>
          <t>bit</t>
        </is>
      </c>
      <c r="I40" s="10" t="inlineStr">
        <is>
          <t>0: normal, 1: bypass</t>
        </is>
      </c>
      <c r="J40" s="10" t="inlineStr">
        <is>
          <t>Debug: 1 = m_axis_iq = Signal Source Mux output (mem39 selected input; FIR / calibration / gain control bypassed, input sent directly to the DAC); the normal path keeps running (AGC / Power Fit still computed)</t>
        </is>
      </c>
      <c r="K40" s="10" t="inlineStr">
        <is>
          <t>Real-time (CDC)</t>
        </is>
      </c>
      <c r="L40" s="10" t="inlineStr">
        <is>
          <t>cal_cdc_0 -&gt; axis_iq_bypass_0</t>
        </is>
      </c>
      <c r="M40" s="8" t="inlineStr">
        <is>
          <t>Calibration</t>
        </is>
      </c>
    </row>
    <row r="41">
      <c r="A41" s="8" t="inlineStr">
        <is>
          <t>mem39</t>
        </is>
      </c>
      <c r="B41" s="9" t="inlineStr">
        <is>
          <t>09C</t>
        </is>
      </c>
      <c r="C41" s="8">
        <f>"0x"&amp;DEC2HEX(HEX2DEC(Summary!$B$3)+156,8)</f>
        <v/>
      </c>
      <c r="D41" s="10" t="inlineStr">
        <is>
          <t>signal_source_select</t>
        </is>
      </c>
      <c r="E41" s="8" t="inlineStr">
        <is>
          <t>[1:0]</t>
        </is>
      </c>
      <c r="F41" s="8" t="inlineStr">
        <is>
          <t>R/W</t>
        </is>
      </c>
      <c r="G41" s="9" t="inlineStr">
        <is>
          <t>0</t>
        </is>
      </c>
      <c r="H41" s="10" t="inlineStr">
        <is>
          <t>unsigned</t>
        </is>
      </c>
      <c r="I41" s="10" t="inlineStr">
        <is>
          <t>0: s_axis_iq_in_0, 1: s_axis_iq_in_1, 2 / 3: all_zero</t>
        </is>
      </c>
      <c r="J41" s="10" t="inlineStr">
        <is>
          <t>Signal Source Mux: input stream sent to Power Fit / Calibration (and to the mem38 bypass path); the unselected inputs are dropped (tready = 1). Debug_008: 2 / 3 = all_zero (160'd0, tvalid = 1)</t>
        </is>
      </c>
      <c r="K41" s="10" t="inlineStr">
        <is>
          <t>Real-time (CDC)</t>
        </is>
      </c>
      <c r="L41" s="10" t="inlineStr">
        <is>
          <t>cal_cdc_0 -&gt; axis_iq_source_mux_0</t>
        </is>
      </c>
      <c r="M41" s="8" t="inlineStr">
        <is>
          <t>Calibration</t>
        </is>
      </c>
    </row>
    <row r="42">
      <c r="A42" s="14" t="inlineStr">
        <is>
          <t>mem40~63</t>
        </is>
      </c>
      <c r="B42" s="15" t="inlineStr">
        <is>
          <t>0A0~0FC</t>
        </is>
      </c>
      <c r="C42" s="14">
        <f>"0x"&amp;DEC2HEX(HEX2DEC(Summary!$B$3)+160,8)</f>
        <v/>
      </c>
      <c r="D42" s="16" t="inlineStr">
        <is>
          <t>reserved (mem40 ~ mem63)</t>
        </is>
      </c>
      <c r="E42" s="14" t="inlineStr">
        <is>
          <t>-</t>
        </is>
      </c>
      <c r="F42" s="14" t="inlineStr">
        <is>
          <t>-</t>
        </is>
      </c>
      <c r="G42" s="15" t="inlineStr">
        <is>
          <t>0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Reserved for future configuration registers: read 0, write ignored</t>
        </is>
      </c>
      <c r="K42" s="16" t="inlineStr">
        <is>
          <t>-</t>
        </is>
      </c>
      <c r="L42" s="16" t="inlineStr">
        <is>
          <t>-</t>
        </is>
      </c>
      <c r="M42" s="14" t="inlineStr">
        <is>
          <t>Reserved</t>
        </is>
      </c>
    </row>
    <row r="43">
      <c r="A43" s="17" t="inlineStr">
        <is>
          <t>mem64</t>
        </is>
      </c>
      <c r="B43" s="18" t="inlineStr">
        <is>
          <t>100</t>
        </is>
      </c>
      <c r="C43" s="17">
        <f>"0x"&amp;DEC2HEX(HEX2DEC(Summary!$B$3)+256,8)</f>
        <v/>
      </c>
      <c r="D43" s="19" t="inlineStr">
        <is>
          <t>status_snapshot</t>
        </is>
      </c>
      <c r="E43" s="17" t="inlineStr">
        <is>
          <t>[15:0]</t>
        </is>
      </c>
      <c r="F43" s="17" t="inlineStr">
        <is>
          <t>W1 / R</t>
        </is>
      </c>
      <c r="G43" s="18" t="inlineStr">
        <is>
          <t>-</t>
        </is>
      </c>
      <c r="H43" s="19" t="inlineStr">
        <is>
          <t>W: bit0 = 1 trigger; R: [15:0] completed snapshot count</t>
        </is>
      </c>
      <c r="I43" s="19" t="inlineStr">
        <is>
          <t>-</t>
        </is>
      </c>
      <c r="J43" s="19" t="inlineStr">
        <is>
          <t>Write 1: latch all st_* registers of this channel on the same clock (clk and adc_clk domains); read back the number of completed snapshots (increments when both domains are latched)</t>
        </is>
      </c>
      <c r="K43" s="19" t="inlineStr">
        <is>
          <t>-</t>
        </is>
      </c>
      <c r="L43" s="19" t="inlineStr">
        <is>
          <t>status_snapshot_0</t>
        </is>
      </c>
      <c r="M43" s="17" t="inlineStr">
        <is>
          <t>Status</t>
        </is>
      </c>
    </row>
    <row r="44">
      <c r="A44" s="17" t="inlineStr">
        <is>
          <t>mem65</t>
        </is>
      </c>
      <c r="B44" s="18" t="inlineStr">
        <is>
          <t>104</t>
        </is>
      </c>
      <c r="C44" s="17">
        <f>"0x"&amp;DEC2HEX(HEX2DEC(Summary!$B$3)+260,8)</f>
        <v/>
      </c>
      <c r="D44" s="19" t="inlineStr">
        <is>
          <t>st_power_amp</t>
        </is>
      </c>
      <c r="E44" s="17" t="inlineStr">
        <is>
          <t>[15:0]</t>
        </is>
      </c>
      <c r="F44" s="17" t="inlineStr">
        <is>
          <t>R</t>
        </is>
      </c>
      <c r="G44" s="18" t="inlineStr">
        <is>
          <t>-</t>
        </is>
      </c>
      <c r="H44" s="19" t="inlineStr">
        <is>
          <t>unsigned amplitude</t>
        </is>
      </c>
      <c r="I44" s="19" t="inlineStr">
        <is>
          <t>0 ~ 65535</t>
        </is>
      </c>
      <c r="J44" s="19" t="inlineStr">
        <is>
          <t>power_fit_top/power_amp (cw_power_calc output)</t>
        </is>
      </c>
      <c r="K44" s="19" t="inlineStr">
        <is>
          <t>-</t>
        </is>
      </c>
      <c r="L44" s="19" t="inlineStr">
        <is>
          <t>power_fit_top/power_amp</t>
        </is>
      </c>
      <c r="M44" s="17" t="inlineStr">
        <is>
          <t>Status</t>
        </is>
      </c>
    </row>
    <row r="45">
      <c r="A45" s="17" t="inlineStr">
        <is>
          <t>mem66</t>
        </is>
      </c>
      <c r="B45" s="18" t="inlineStr">
        <is>
          <t>108</t>
        </is>
      </c>
      <c r="C45" s="17">
        <f>"0x"&amp;DEC2HEX(HEX2DEC(Summary!$B$3)+264,8)</f>
        <v/>
      </c>
      <c r="D45" s="19" t="inlineStr">
        <is>
          <t>st_gain_index_power_fit</t>
        </is>
      </c>
      <c r="E45" s="17" t="inlineStr">
        <is>
          <t>[9:0]</t>
        </is>
      </c>
      <c r="F45" s="17" t="inlineStr">
        <is>
          <t>R</t>
        </is>
      </c>
      <c r="G45" s="18" t="inlineStr">
        <is>
          <t>-</t>
        </is>
      </c>
      <c r="H45" s="19" t="inlineStr">
        <is>
          <t>S5.4, 1/16 dB (sign-extended)</t>
        </is>
      </c>
      <c r="I45" s="19" t="inlineStr">
        <is>
          <t>-31.9375 ~ +31.9375 dB</t>
        </is>
      </c>
      <c r="J45" s="19" t="inlineStr">
        <is>
          <t>Power Fit result pf = goal_dBFS - input_dBFS</t>
        </is>
      </c>
      <c r="K45" s="19" t="inlineStr">
        <is>
          <t>-</t>
        </is>
      </c>
      <c r="L45" s="19" t="inlineStr">
        <is>
          <t>power_fit_top/gain_index_power_fit</t>
        </is>
      </c>
      <c r="M45" s="17" t="inlineStr">
        <is>
          <t>Status</t>
        </is>
      </c>
    </row>
    <row r="46">
      <c r="A46" s="17" t="inlineStr">
        <is>
          <t>mem67</t>
        </is>
      </c>
      <c r="B46" s="18" t="inlineStr">
        <is>
          <t>10C</t>
        </is>
      </c>
      <c r="C46" s="17">
        <f>"0x"&amp;DEC2HEX(HEX2DEC(Summary!$B$3)+268,8)</f>
        <v/>
      </c>
      <c r="D46" s="19" t="inlineStr">
        <is>
          <t>st_goal_db</t>
        </is>
      </c>
      <c r="E46" s="17" t="inlineStr">
        <is>
          <t>[11:0]</t>
        </is>
      </c>
      <c r="F46" s="17" t="inlineStr">
        <is>
          <t>R</t>
        </is>
      </c>
      <c r="G46" s="18" t="inlineStr">
        <is>
          <t>-</t>
        </is>
      </c>
      <c r="H46" s="19" t="inlineStr">
        <is>
          <t>S7.4 dBFS (sign-extended)</t>
        </is>
      </c>
      <c r="I46" s="19" t="inlineStr">
        <is>
          <t>-128 ~ 0 dB</t>
        </is>
      </c>
      <c r="J46" s="19" t="inlineStr">
        <is>
          <t>Power Fit goal in dBFS (16384 = 0 dBFS). CW: min(cw_mode_goal_dbfs, -margin); Pulse: -(margin + PAPR)</t>
        </is>
      </c>
      <c r="K46" s="19" t="inlineStr">
        <is>
          <t>-</t>
        </is>
      </c>
      <c r="L46" s="19" t="inlineStr">
        <is>
          <t>power_fit_top/goal_db</t>
        </is>
      </c>
      <c r="M46" s="17" t="inlineStr">
        <is>
          <t>Status</t>
        </is>
      </c>
    </row>
    <row r="47">
      <c r="A47" s="17" t="inlineStr">
        <is>
          <t>mem68</t>
        </is>
      </c>
      <c r="B47" s="18" t="inlineStr">
        <is>
          <t>110</t>
        </is>
      </c>
      <c r="C47" s="17">
        <f>"0x"&amp;DEC2HEX(HEX2DEC(Summary!$B$3)+272,8)</f>
        <v/>
      </c>
      <c r="D47" s="19" t="inlineStr">
        <is>
          <t>st_goal_rel_db</t>
        </is>
      </c>
      <c r="E47" s="17" t="inlineStr">
        <is>
          <t>[9:0]</t>
        </is>
      </c>
      <c r="F47" s="17" t="inlineStr">
        <is>
          <t>R</t>
        </is>
      </c>
      <c r="G47" s="18" t="inlineStr">
        <is>
          <t>-</t>
        </is>
      </c>
      <c r="H47" s="19" t="inlineStr">
        <is>
          <t>S5.4, 1/16 dB (sign-extended)</t>
        </is>
      </c>
      <c r="I47" s="19" t="inlineStr">
        <is>
          <t>-31.9375 ~ +31.9375 dB</t>
        </is>
      </c>
      <c r="J47" s="19" t="inlineStr">
        <is>
          <t>goal_dBFS - goal_ref_dbfs (TXAGC Manual mode)</t>
        </is>
      </c>
      <c r="K47" s="19" t="inlineStr">
        <is>
          <t>-</t>
        </is>
      </c>
      <c r="L47" s="19" t="inlineStr">
        <is>
          <t>power_fit_top/goal_rel_db</t>
        </is>
      </c>
      <c r="M47" s="17" t="inlineStr">
        <is>
          <t>Status</t>
        </is>
      </c>
    </row>
    <row r="48">
      <c r="A48" s="17" t="inlineStr">
        <is>
          <t>mem69</t>
        </is>
      </c>
      <c r="B48" s="18" t="inlineStr">
        <is>
          <t>114</t>
        </is>
      </c>
      <c r="C48" s="17">
        <f>"0x"&amp;DEC2HEX(HEX2DEC(Summary!$B$3)+276,8)</f>
        <v/>
      </c>
      <c r="D48" s="19" t="inlineStr">
        <is>
          <t>st_gain_index_tx</t>
        </is>
      </c>
      <c r="E48" s="17" t="inlineStr">
        <is>
          <t>[11:0]</t>
        </is>
      </c>
      <c r="F48" s="17" t="inlineStr">
        <is>
          <t>R</t>
        </is>
      </c>
      <c r="G48" s="18" t="inlineStr">
        <is>
          <t>-</t>
        </is>
      </c>
      <c r="H48" s="19" t="inlineStr">
        <is>
          <t>S7.4, 1/16 dB (sign-extended)</t>
        </is>
      </c>
      <c r="I48" s="19" t="inlineStr">
        <is>
          <t>-128 ~ +127.9375 dB</t>
        </is>
      </c>
      <c r="J48" s="19" t="inlineStr">
        <is>
          <t>TXAGC digital gain index (pf - R) applied to Gain_Compensation (clk domain)</t>
        </is>
      </c>
      <c r="K48" s="19" t="inlineStr">
        <is>
          <t>-</t>
        </is>
      </c>
      <c r="L48" s="19" t="inlineStr">
        <is>
          <t>agc_emu/gain_index_tx</t>
        </is>
      </c>
      <c r="M48" s="17" t="inlineStr">
        <is>
          <t>Status</t>
        </is>
      </c>
    </row>
    <row r="49">
      <c r="A49" s="17" t="inlineStr">
        <is>
          <t>mem70</t>
        </is>
      </c>
      <c r="B49" s="18" t="inlineStr">
        <is>
          <t>118</t>
        </is>
      </c>
      <c r="C49" s="17">
        <f>"0x"&amp;DEC2HEX(HEX2DEC(Summary!$B$3)+280,8)</f>
        <v/>
      </c>
      <c r="D49" s="19" t="inlineStr">
        <is>
          <t>st_adc_flags</t>
        </is>
      </c>
      <c r="E49" s="17" t="inlineStr">
        <is>
          <t>[3:0]</t>
        </is>
      </c>
      <c r="F49" s="17" t="inlineStr">
        <is>
          <t>R</t>
        </is>
      </c>
      <c r="G49" s="18" t="inlineStr">
        <is>
          <t>-</t>
        </is>
      </c>
      <c r="H49" s="19" t="inlineStr">
        <is>
          <t>bits</t>
        </is>
      </c>
      <c r="I49" s="19" t="inlineStr">
        <is>
          <t>[0] over_threshold1, [1] over_threshold2, [2] over_range, [3] over_voltage</t>
        </is>
      </c>
      <c r="J49" s="19" t="inlineStr">
        <is>
          <t>RFDC flags at the snapshot (adc_clk domain, current value only)</t>
        </is>
      </c>
      <c r="K49" s="19" t="inlineStr">
        <is>
          <t>-</t>
        </is>
      </c>
      <c r="L49" s="19" t="inlineStr">
        <is>
          <t>over_threshold1/2, over_range, over_voltage</t>
        </is>
      </c>
      <c r="M49" s="17" t="inlineStr">
        <is>
          <t>Status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50" customWidth="1" min="5" max="5"/>
  </cols>
  <sheetData>
    <row r="1">
      <c r="A1" s="6" t="inlineStr">
        <is>
          <t>v7 mem</t>
        </is>
      </c>
      <c r="B1" s="6" t="inlineStr">
        <is>
          <t>v7 name</t>
        </is>
      </c>
      <c r="C1" s="6" t="inlineStr">
        <is>
          <t>v8 location</t>
        </is>
      </c>
      <c r="D1" s="6" t="inlineStr">
        <is>
          <t>v8 name</t>
        </is>
      </c>
      <c r="E1" s="6" t="inlineStr">
        <is>
          <t>Note</t>
        </is>
      </c>
    </row>
    <row r="2">
      <c r="A2" s="7" t="n">
        <v>20</v>
      </c>
      <c r="B2" s="7" t="inlineStr">
        <is>
          <t>cw_mode_goal_amp</t>
        </is>
      </c>
      <c r="C2" s="7" t="inlineStr">
        <is>
          <t>sys2</t>
        </is>
      </c>
      <c r="D2" s="7" t="inlineStr">
        <is>
          <t>cw_mode_goal_dbfs</t>
        </is>
      </c>
      <c r="E2" s="7" t="inlineStr">
        <is>
          <t>amplitude -&gt; S6.4 dBFS</t>
        </is>
      </c>
    </row>
    <row r="3">
      <c r="A3" s="7" t="n">
        <v>21</v>
      </c>
      <c r="B3" s="7" t="inlineStr">
        <is>
          <t>gain_index_mode_sel</t>
        </is>
      </c>
      <c r="C3" s="7" t="inlineStr">
        <is>
          <t>mem20</t>
        </is>
      </c>
      <c r="D3" s="7" t="inlineStr">
        <is>
          <t>gain_index_mode_sel</t>
        </is>
      </c>
      <c r="E3" s="7" t="inlineStr"/>
    </row>
    <row r="4">
      <c r="A4" s="7" t="n">
        <v>22</v>
      </c>
      <c r="B4" s="7" t="inlineStr">
        <is>
          <t>gain_index_manual</t>
        </is>
      </c>
      <c r="C4" s="7" t="inlineStr">
        <is>
          <t>mem21</t>
        </is>
      </c>
      <c r="D4" s="7" t="inlineStr">
        <is>
          <t>gain_index_manual</t>
        </is>
      </c>
      <c r="E4" s="7" t="inlineStr"/>
    </row>
    <row r="5">
      <c r="A5" s="7" t="n">
        <v>23</v>
      </c>
      <c r="B5" s="7" t="inlineStr">
        <is>
          <t>gain_index_ch_offset</t>
        </is>
      </c>
      <c r="C5" s="7" t="inlineStr">
        <is>
          <t>mem22</t>
        </is>
      </c>
      <c r="D5" s="7" t="inlineStr">
        <is>
          <t>gain_index_ch_offset</t>
        </is>
      </c>
      <c r="E5" s="7" t="inlineStr"/>
    </row>
    <row r="6">
      <c r="A6" s="7" t="n">
        <v>24</v>
      </c>
      <c r="B6" s="7" t="inlineStr">
        <is>
          <t>gain_index_rf_freq_offset</t>
        </is>
      </c>
      <c r="C6" s="7" t="inlineStr">
        <is>
          <t>mem23</t>
        </is>
      </c>
      <c r="D6" s="7" t="inlineStr">
        <is>
          <t>gain_index_rf_freq_offset</t>
        </is>
      </c>
      <c r="E6" s="7" t="inlineStr"/>
    </row>
    <row r="7">
      <c r="A7" s="7" t="n">
        <v>25</v>
      </c>
      <c r="B7" s="7" t="inlineStr">
        <is>
          <t>gain_index_temperature_offset</t>
        </is>
      </c>
      <c r="C7" s="7" t="inlineStr">
        <is>
          <t>mem24</t>
        </is>
      </c>
      <c r="D7" s="7" t="inlineStr">
        <is>
          <t>gain_index_temperature_offset</t>
        </is>
      </c>
      <c r="E7" s="7" t="inlineStr"/>
    </row>
    <row r="8">
      <c r="A8" s="7" t="n">
        <v>26</v>
      </c>
      <c r="B8" s="7" t="inlineStr">
        <is>
          <t>signal_mode_select</t>
        </is>
      </c>
      <c r="C8" s="7" t="inlineStr">
        <is>
          <t>sys0</t>
        </is>
      </c>
      <c r="D8" s="7" t="inlineStr">
        <is>
          <t>signal_mode_select</t>
        </is>
      </c>
      <c r="E8" s="7" t="inlineStr"/>
    </row>
    <row r="9">
      <c r="A9" s="7" t="n">
        <v>27</v>
      </c>
      <c r="B9" s="7" t="inlineStr">
        <is>
          <t>power_limit_margin</t>
        </is>
      </c>
      <c r="C9" s="7" t="inlineStr">
        <is>
          <t>sys1</t>
        </is>
      </c>
      <c r="D9" s="7" t="inlineStr">
        <is>
          <t>power_limit_margin</t>
        </is>
      </c>
      <c r="E9" s="7" t="inlineStr"/>
    </row>
    <row r="10">
      <c r="A10" s="7" t="n">
        <v>28</v>
      </c>
      <c r="B10" s="7" t="inlineStr">
        <is>
          <t>dac_output_ref_dbm</t>
        </is>
      </c>
      <c r="C10" s="7" t="inlineStr">
        <is>
          <t>mem25</t>
        </is>
      </c>
      <c r="D10" s="7" t="inlineStr">
        <is>
          <t>dac_output_ref_dbm</t>
        </is>
      </c>
      <c r="E10" s="7" t="inlineStr"/>
    </row>
    <row r="11">
      <c r="A11" s="7" t="n">
        <v>29</v>
      </c>
      <c r="B11" s="7" t="inlineStr">
        <is>
          <t>goal_ref_amp</t>
        </is>
      </c>
      <c r="C11" s="7" t="inlineStr">
        <is>
          <t>mem26</t>
        </is>
      </c>
      <c r="D11" s="7" t="inlineStr">
        <is>
          <t>goal_ref_dbfs</t>
        </is>
      </c>
      <c r="E11" s="7" t="inlineStr">
        <is>
          <t>amplitude -&gt; S6.4 dBFS</t>
        </is>
      </c>
    </row>
    <row r="12">
      <c r="A12" s="7" t="n">
        <v>30</v>
      </c>
      <c r="B12" s="7" t="inlineStr">
        <is>
          <t>digital_apply_delay</t>
        </is>
      </c>
      <c r="C12" s="7" t="inlineStr">
        <is>
          <t>sys5</t>
        </is>
      </c>
      <c r="D12" s="7" t="inlineStr">
        <is>
          <t>digital_apply_delay</t>
        </is>
      </c>
      <c r="E12" s="7" t="inlineStr"/>
    </row>
    <row r="13">
      <c r="A13" s="7" t="n">
        <v>31</v>
      </c>
      <c r="B13" s="7" t="inlineStr">
        <is>
          <t>(reserved)</t>
        </is>
      </c>
      <c r="C13" s="7" t="inlineStr">
        <is>
          <t>-</t>
        </is>
      </c>
      <c r="D13" s="7" t="inlineStr">
        <is>
          <t>-</t>
        </is>
      </c>
      <c r="E13" s="7" t="inlineStr"/>
    </row>
    <row r="14">
      <c r="A14" s="7" t="n">
        <v>32</v>
      </c>
      <c r="B14" s="7" t="inlineStr">
        <is>
          <t>agc_reg5</t>
        </is>
      </c>
      <c r="C14" s="7" t="inlineStr">
        <is>
          <t>mem27</t>
        </is>
      </c>
      <c r="D14" s="7" t="inlineStr">
        <is>
          <t>agc_reg5</t>
        </is>
      </c>
      <c r="E14" s="7" t="inlineStr"/>
    </row>
    <row r="15">
      <c r="A15" s="7" t="n">
        <v>33</v>
      </c>
      <c r="B15" s="7" t="inlineStr">
        <is>
          <t>agc_bypass_agc</t>
        </is>
      </c>
      <c r="C15" s="7" t="inlineStr">
        <is>
          <t>mem28</t>
        </is>
      </c>
      <c r="D15" s="7" t="inlineStr">
        <is>
          <t>agc_bypass_agc</t>
        </is>
      </c>
      <c r="E15" s="7" t="inlineStr"/>
    </row>
    <row r="16">
      <c r="A16" s="7" t="n">
        <v>34</v>
      </c>
      <c r="B16" s="7" t="inlineStr">
        <is>
          <t>agc_bypass_tx_att_state</t>
        </is>
      </c>
      <c r="C16" s="7" t="inlineStr">
        <is>
          <t>mem29</t>
        </is>
      </c>
      <c r="D16" s="7" t="inlineStr">
        <is>
          <t>agc_bypass_tx_att_state</t>
        </is>
      </c>
      <c r="E16" s="7" t="inlineStr"/>
    </row>
    <row r="17">
      <c r="A17" s="7" t="n">
        <v>35</v>
      </c>
      <c r="B17" s="7" t="inlineStr">
        <is>
          <t>agc_bypass_sr_update</t>
        </is>
      </c>
      <c r="C17" s="7" t="inlineStr">
        <is>
          <t>mem30</t>
        </is>
      </c>
      <c r="D17" s="7" t="inlineStr">
        <is>
          <t>agc_bypass_sr_update</t>
        </is>
      </c>
      <c r="E17" s="7" t="inlineStr"/>
    </row>
    <row r="18">
      <c r="A18" s="7" t="n">
        <v>36</v>
      </c>
      <c r="B18" s="7" t="inlineStr">
        <is>
          <t>agc_tx_power_mode</t>
        </is>
      </c>
      <c r="C18" s="7" t="inlineStr">
        <is>
          <t>sys4</t>
        </is>
      </c>
      <c r="D18" s="7" t="inlineStr">
        <is>
          <t>agc_tx_power_mode</t>
        </is>
      </c>
      <c r="E18" s="7" t="inlineStr"/>
    </row>
    <row r="19">
      <c r="A19" s="7" t="n">
        <v>37</v>
      </c>
      <c r="B19" s="7" t="inlineStr">
        <is>
          <t>agc_manual_tx_att_en</t>
        </is>
      </c>
      <c r="C19" s="7" t="inlineStr">
        <is>
          <t>mem31</t>
        </is>
      </c>
      <c r="D19" s="7" t="inlineStr">
        <is>
          <t>agc_manual_tx_att_en</t>
        </is>
      </c>
      <c r="E19" s="7" t="inlineStr"/>
    </row>
    <row r="20">
      <c r="A20" s="7" t="n">
        <v>38</v>
      </c>
      <c r="B20" s="7" t="inlineStr">
        <is>
          <t>agc_manual_tx_att_db</t>
        </is>
      </c>
      <c r="C20" s="7" t="inlineStr">
        <is>
          <t>mem32</t>
        </is>
      </c>
      <c r="D20" s="7" t="inlineStr">
        <is>
          <t>agc_manual_tx_att_db</t>
        </is>
      </c>
      <c r="E20" s="7" t="inlineStr"/>
    </row>
    <row r="21">
      <c r="A21" s="7" t="n">
        <v>39</v>
      </c>
      <c r="B21" s="7" t="inlineStr">
        <is>
          <t>agc_target_power</t>
        </is>
      </c>
      <c r="C21" s="7" t="inlineStr">
        <is>
          <t>mem33</t>
        </is>
      </c>
      <c r="D21" s="7" t="inlineStr">
        <is>
          <t>agc_target_power</t>
        </is>
      </c>
      <c r="E21" s="7" t="inlineStr"/>
    </row>
    <row r="22">
      <c r="A22" s="7" t="n">
        <v>40</v>
      </c>
      <c r="B22" s="7" t="inlineStr">
        <is>
          <t>agc_linear_mode_offset</t>
        </is>
      </c>
      <c r="C22" s="7" t="inlineStr">
        <is>
          <t>mem34</t>
        </is>
      </c>
      <c r="D22" s="7" t="inlineStr">
        <is>
          <t>agc_linear_mode_offset</t>
        </is>
      </c>
      <c r="E22" s="7" t="inlineStr"/>
    </row>
    <row r="23">
      <c r="A23" s="7" t="n">
        <v>41</v>
      </c>
      <c r="B23" s="7" t="inlineStr">
        <is>
          <t>agc_manual_mode_offset</t>
        </is>
      </c>
      <c r="C23" s="7" t="inlineStr">
        <is>
          <t>mem35</t>
        </is>
      </c>
      <c r="D23" s="7" t="inlineStr">
        <is>
          <t>agc_manual_mode_offset</t>
        </is>
      </c>
      <c r="E23" s="7" t="inlineStr"/>
    </row>
    <row r="24">
      <c r="A24" s="7" t="n">
        <v>42</v>
      </c>
      <c r="B24" s="7" t="inlineStr">
        <is>
          <t>agc_manual_rx_att_en</t>
        </is>
      </c>
      <c r="C24" s="7" t="inlineStr">
        <is>
          <t>mem36</t>
        </is>
      </c>
      <c r="D24" s="7" t="inlineStr">
        <is>
          <t>agc_manual_rx_att_en</t>
        </is>
      </c>
      <c r="E24" s="7" t="inlineStr"/>
    </row>
    <row r="25">
      <c r="A25" s="7" t="n">
        <v>43</v>
      </c>
      <c r="B25" s="7" t="inlineStr">
        <is>
          <t>agc_manual_rx_att_state</t>
        </is>
      </c>
      <c r="C25" s="7" t="inlineStr">
        <is>
          <t>mem37</t>
        </is>
      </c>
      <c r="D25" s="7" t="inlineStr">
        <is>
          <t>agc_manual_rx_att_state</t>
        </is>
      </c>
      <c r="E25" s="7" t="inlineStr"/>
    </row>
    <row r="26">
      <c r="A26" s="7" t="n">
        <v>44</v>
      </c>
      <c r="B26" s="7" t="inlineStr">
        <is>
          <t>agc_rx_watch_cycle</t>
        </is>
      </c>
      <c r="C26" s="7" t="inlineStr">
        <is>
          <t>sys8</t>
        </is>
      </c>
      <c r="D26" s="7" t="inlineStr">
        <is>
          <t>agc_rx_watch_cycle</t>
        </is>
      </c>
      <c r="E26" s="7" t="inlineStr"/>
    </row>
    <row r="27">
      <c r="A27" s="7" t="n">
        <v>45</v>
      </c>
      <c r="B27" s="7" t="inlineStr">
        <is>
          <t>agc_rx_wait_dsa_cycle</t>
        </is>
      </c>
      <c r="C27" s="7" t="inlineStr">
        <is>
          <t>sys9</t>
        </is>
      </c>
      <c r="D27" s="7" t="inlineStr">
        <is>
          <t>agc_rx_wait_dsa_cycle</t>
        </is>
      </c>
      <c r="E27" s="7" t="inlineStr"/>
    </row>
    <row r="28">
      <c r="A28" s="7" t="n">
        <v>46</v>
      </c>
      <c r="B28" s="7" t="inlineStr">
        <is>
          <t>agc_rx_set_dsa_cycle</t>
        </is>
      </c>
      <c r="C28" s="7" t="inlineStr">
        <is>
          <t>sys10</t>
        </is>
      </c>
      <c r="D28" s="7" t="inlineStr">
        <is>
          <t>agc_rx_set_dsa_cycle</t>
        </is>
      </c>
      <c r="E28" s="7" t="inlineStr"/>
    </row>
    <row r="29">
      <c r="A29" s="7" t="n">
        <v>47</v>
      </c>
      <c r="B29" s="7" t="inlineStr">
        <is>
          <t>agc_rx_wait_cycle</t>
        </is>
      </c>
      <c r="C29" s="7" t="inlineStr">
        <is>
          <t>sys11</t>
        </is>
      </c>
      <c r="D29" s="7" t="inlineStr">
        <is>
          <t>agc_rx_wait_cycle</t>
        </is>
      </c>
      <c r="E29" s="7" t="inlineStr"/>
    </row>
    <row r="30">
      <c r="A30" s="7" t="n">
        <v>48</v>
      </c>
      <c r="B30" s="7" t="inlineStr">
        <is>
          <t>agc_rx_set_clear_cycle</t>
        </is>
      </c>
      <c r="C30" s="7" t="inlineStr">
        <is>
          <t>sys12</t>
        </is>
      </c>
      <c r="D30" s="7" t="inlineStr">
        <is>
          <t>agc_rx_set_clear_cycle</t>
        </is>
      </c>
      <c r="E30" s="7" t="inlineStr"/>
    </row>
    <row r="31">
      <c r="A31" s="7" t="n">
        <v>49</v>
      </c>
      <c r="B31" s="7" t="inlineStr">
        <is>
          <t>agc_rx_wait_clear_cycle</t>
        </is>
      </c>
      <c r="C31" s="7" t="inlineStr">
        <is>
          <t>sys13</t>
        </is>
      </c>
      <c r="D31" s="7" t="inlineStr">
        <is>
          <t>agc_rx_wait_clear_cycle</t>
        </is>
      </c>
      <c r="E31" s="7" t="inlineStr"/>
    </row>
    <row r="32">
      <c r="A32" s="7" t="n">
        <v>50</v>
      </c>
      <c r="B32" s="7" t="inlineStr">
        <is>
          <t>agc_sr_update_period</t>
        </is>
      </c>
      <c r="C32" s="7" t="inlineStr">
        <is>
          <t>sys6</t>
        </is>
      </c>
      <c r="D32" s="7" t="inlineStr">
        <is>
          <t>agc_sr_update_period</t>
        </is>
      </c>
      <c r="E32" s="7" t="inlineStr"/>
    </row>
    <row r="33">
      <c r="A33" s="7" t="n">
        <v>51</v>
      </c>
      <c r="B33" s="7" t="inlineStr">
        <is>
          <t>agc_mode_settle_cycle</t>
        </is>
      </c>
      <c r="C33" s="7" t="inlineStr">
        <is>
          <t>sys7</t>
        </is>
      </c>
      <c r="D33" s="7" t="inlineStr">
        <is>
          <t>agc_mode_settle_cycle</t>
        </is>
      </c>
      <c r="E33" s="7" t="inlineStr"/>
    </row>
    <row r="35">
      <c r="A35" s="2" t="inlineStr">
        <is>
          <t>mem0~19 (FIR, delay, phase) unchanged.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20" customWidth="1" min="4" max="4"/>
    <col width="46" customWidth="1" min="5" max="5"/>
    <col width="80" customWidth="1" min="6" max="6"/>
  </cols>
  <sheetData>
    <row r="1">
      <c r="A1" s="6" t="inlineStr">
        <is>
          <t>Port</t>
        </is>
      </c>
      <c r="B1" s="6" t="inlineStr">
        <is>
          <t>Direction</t>
        </is>
      </c>
      <c r="C1" s="6" t="inlineStr">
        <is>
          <t>Width</t>
        </is>
      </c>
      <c r="D1" s="6" t="inlineStr">
        <is>
          <t>Clock domain</t>
        </is>
      </c>
      <c r="E1" s="6" t="inlineStr">
        <is>
          <t>Connected to (design_1)</t>
        </is>
      </c>
      <c r="F1" s="6" t="inlineStr">
        <is>
          <t>Description</t>
        </is>
      </c>
    </row>
    <row r="2">
      <c r="A2" s="7" t="inlineStr">
        <is>
          <t>s_axis_iq_in_0 / s_axis_iq_in_1</t>
        </is>
      </c>
      <c r="B2" s="7" t="inlineStr">
        <is>
          <t>in</t>
        </is>
      </c>
      <c r="C2" s="7" t="inlineStr">
        <is>
          <t>AXIS [159:0] each</t>
        </is>
      </c>
      <c r="D2" s="7" t="inlineStr">
        <is>
          <t>clk (256 MHz)</t>
        </is>
      </c>
      <c r="E2" s="7" t="inlineStr">
        <is>
          <t>s_axis_iq_in_0: Aurora hier_rx_x0yN/M_AXIS_Cx; s_axis_iq_in_1: rfdc_iq_combine_chN (ADC)</t>
        </is>
      </c>
      <c r="F2" s="7" t="inlineStr">
        <is>
          <t>Signal Source Mux inputs (mem39 selects); 5 samples x {Q[15:0], I[15:0]} per beat</t>
        </is>
      </c>
    </row>
    <row r="3">
      <c r="A3" s="7" t="inlineStr">
        <is>
          <t>m_axis_iq</t>
        </is>
      </c>
      <c r="B3" s="7" t="inlineStr">
        <is>
          <t>out</t>
        </is>
      </c>
      <c r="C3" s="7" t="inlineStr">
        <is>
          <t>AXIS [159:0]</t>
        </is>
      </c>
      <c r="D3" s="7" t="inlineStr">
        <is>
          <t>clk (256 MHz)</t>
        </is>
      </c>
      <c r="E3" s="7" t="inlineStr">
        <is>
          <t>RFDC DAC</t>
        </is>
      </c>
      <c r="F3" s="7" t="inlineStr">
        <is>
          <t>Calibrated output (or mux output when mem38 bypass = 1)</t>
        </is>
      </c>
    </row>
    <row r="4">
      <c r="A4" s="7" t="inlineStr">
        <is>
          <t>reg_signal_mode_select / reg_power_limit_margin / reg_cw_mode_goal_dbfs / reg_pulse_update_stable_cycle</t>
        </is>
      </c>
      <c r="B4" s="7" t="inlineStr">
        <is>
          <t>in</t>
        </is>
      </c>
      <c r="C4" s="7" t="inlineStr">
        <is>
          <t>[31:0] each</t>
        </is>
      </c>
      <c r="D4" s="7" t="inlineStr">
        <is>
          <t>S_AXI_ACLK</t>
        </is>
      </c>
      <c r="E4" s="7" t="inlineStr">
        <is>
          <t>system_reg_map/sys0~3 (nets reg_&lt;name&gt;)</t>
        </is>
      </c>
      <c r="F4" s="7" t="inlineStr">
        <is>
          <t>System Power Fit settings -&gt; cal_cdc_0</t>
        </is>
      </c>
    </row>
    <row r="5">
      <c r="A5" s="7" t="inlineStr">
        <is>
          <t>reg_agc_tx_power_mode / reg_digital_apply_delay / reg_agc_sr_update_period / reg_agc_mode_settle_cycle / reg_agc_rx_*_cycle</t>
        </is>
      </c>
      <c r="B5" s="7" t="inlineStr">
        <is>
          <t>in</t>
        </is>
      </c>
      <c r="C5" s="7" t="inlineStr">
        <is>
          <t>[31:0] each</t>
        </is>
      </c>
      <c r="D5" s="7" t="inlineStr">
        <is>
          <t>S_AXI_ACLK</t>
        </is>
      </c>
      <c r="E5" s="7" t="inlineStr">
        <is>
          <t>system_reg_map/sys4~13</t>
        </is>
      </c>
      <c r="F5" s="7" t="inlineStr">
        <is>
          <t>System AGC settings -&gt; agc_emu (agc_cdc_0)</t>
        </is>
      </c>
    </row>
    <row r="6">
      <c r="A6" s="7" t="inlineStr">
        <is>
          <t>rx_att_index</t>
        </is>
      </c>
      <c r="B6" s="7" t="inlineStr">
        <is>
          <t>in</t>
        </is>
      </c>
      <c r="C6" s="7" t="inlineStr">
        <is>
          <t>[2:0]</t>
        </is>
      </c>
      <c r="D6" s="7" t="inlineStr">
        <is>
          <t>clk (256 MHz)</t>
        </is>
      </c>
      <c r="E6" s="7" t="inlineStr">
        <is>
          <t>vio_ext_inputs probe 4(N-1) (temporary)</t>
        </is>
      </c>
      <c r="F6" s="7" t="inlineStr">
        <is>
          <t>RSP RX attenuation index 0~6 x 10 dB</t>
        </is>
      </c>
    </row>
    <row r="7">
      <c r="A7" s="7" t="inlineStr">
        <is>
          <t>algo_analog_att_db</t>
        </is>
      </c>
      <c r="B7" s="7" t="inlineStr">
        <is>
          <t>in</t>
        </is>
      </c>
      <c r="C7" s="7" t="inlineStr">
        <is>
          <t>[8:0]</t>
        </is>
      </c>
      <c r="D7" s="7" t="inlineStr">
        <is>
          <t>clk</t>
        </is>
      </c>
      <c r="E7" s="7" t="inlineStr">
        <is>
          <t>vio_ext_inputs (temporary)</t>
        </is>
      </c>
      <c r="F7" s="7" t="inlineStr">
        <is>
          <t>S8.0 dB extra analog attenuation</t>
        </is>
      </c>
    </row>
    <row r="8">
      <c r="A8" s="7" t="inlineStr">
        <is>
          <t>pulse_avg_amp</t>
        </is>
      </c>
      <c r="B8" s="7" t="inlineStr">
        <is>
          <t>in</t>
        </is>
      </c>
      <c r="C8" s="7" t="inlineStr">
        <is>
          <t>[15:0]</t>
        </is>
      </c>
      <c r="D8" s="7" t="inlineStr">
        <is>
          <t>clk</t>
        </is>
      </c>
      <c r="E8" s="7" t="inlineStr">
        <is>
          <t>vio_ext_inputs (temporary)</t>
        </is>
      </c>
      <c r="F8" s="7" t="inlineStr">
        <is>
          <t>Pulse mode Power Fit input (auto update: latched together with PAPR after M stable clk)</t>
        </is>
      </c>
    </row>
    <row r="9">
      <c r="A9" s="7" t="inlineStr">
        <is>
          <t>pulse_papr</t>
        </is>
      </c>
      <c r="B9" s="7" t="inlineStr">
        <is>
          <t>in</t>
        </is>
      </c>
      <c r="C9" s="7" t="inlineStr">
        <is>
          <t>[8:0]</t>
        </is>
      </c>
      <c r="D9" s="7" t="inlineStr">
        <is>
          <t>clk</t>
        </is>
      </c>
      <c r="E9" s="7" t="inlineStr">
        <is>
          <t>vio_ext_inputs (temporary)</t>
        </is>
      </c>
      <c r="F9" s="7" t="inlineStr">
        <is>
          <t>U5.4 dB; Pulse goal = -(margin + PAPR) dBFS</t>
        </is>
      </c>
    </row>
    <row r="10">
      <c r="A10" s="7" t="inlineStr">
        <is>
          <t>adc_clk</t>
        </is>
      </c>
      <c r="B10" s="7" t="inlineStr">
        <is>
          <t>in</t>
        </is>
      </c>
      <c r="C10" s="7" t="inlineStr">
        <is>
          <t>1</t>
        </is>
      </c>
      <c r="D10" s="7" t="inlineStr">
        <is>
          <t>-</t>
        </is>
      </c>
      <c r="E10" s="7" t="inlineStr">
        <is>
          <t>RFDC clk_adcN (240 MHz)</t>
        </is>
      </c>
      <c r="F10" s="7" t="inlineStr">
        <is>
          <t>AGC clock</t>
        </is>
      </c>
    </row>
    <row r="11">
      <c r="A11" s="7" t="inlineStr">
        <is>
          <t>over_voltage / over_range / over_threshold1 / over_threshold2</t>
        </is>
      </c>
      <c r="B11" s="7" t="inlineStr">
        <is>
          <t>in</t>
        </is>
      </c>
      <c r="C11" s="7" t="inlineStr">
        <is>
          <t>1 each</t>
        </is>
      </c>
      <c r="D11" s="7" t="inlineStr">
        <is>
          <t>adc_clk</t>
        </is>
      </c>
      <c r="E11" s="7" t="inlineStr">
        <is>
          <t>RFDC adcN_01_*</t>
        </is>
      </c>
      <c r="F11" s="7" t="inlineStr">
        <is>
          <t>RXAGC flags (also st_adc_flags)</t>
        </is>
      </c>
    </row>
    <row r="12">
      <c r="A12" s="7" t="inlineStr">
        <is>
          <t>clear_or / clear_ov</t>
        </is>
      </c>
      <c r="B12" s="7" t="inlineStr">
        <is>
          <t>out</t>
        </is>
      </c>
      <c r="C12" s="7" t="inlineStr">
        <is>
          <t>1 each</t>
        </is>
      </c>
      <c r="D12" s="7" t="inlineStr">
        <is>
          <t>S_AXI_ACLK</t>
        </is>
      </c>
      <c r="E12" s="7" t="inlineStr">
        <is>
          <t>RFDC adcN_01_clear_*</t>
        </is>
      </c>
      <c r="F12" s="7" t="inlineStr">
        <is>
          <t>Flag clear</t>
        </is>
      </c>
    </row>
    <row r="13">
      <c r="A13" s="7" t="inlineStr">
        <is>
          <t>Reg1~5_SER / SRCLK / RCLK</t>
        </is>
      </c>
      <c r="B13" s="7" t="inlineStr">
        <is>
          <t>out</t>
        </is>
      </c>
      <c r="C13" s="7" t="inlineStr">
        <is>
          <t>15</t>
        </is>
      </c>
      <c r="D13" s="7" t="inlineStr">
        <is>
          <t>adc_clk</t>
        </is>
      </c>
      <c r="E13" s="7" t="inlineStr">
        <is>
          <t>CHN_Reg1~5_* top ports</t>
        </is>
      </c>
      <c r="F13" s="7" t="inlineStr">
        <is>
          <t>74LVC595 pins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8" customWidth="1" min="4" max="4"/>
    <col width="90" customWidth="1" min="5" max="5"/>
  </cols>
  <sheetData>
    <row r="1">
      <c r="A1" s="6" t="inlineStr">
        <is>
          <t>Step</t>
        </is>
      </c>
      <c r="B1" s="6" t="inlineStr">
        <is>
          <t>Register</t>
        </is>
      </c>
      <c r="C1" s="6" t="inlineStr">
        <is>
          <t>Address</t>
        </is>
      </c>
      <c r="D1" s="6" t="inlineStr">
        <is>
          <t>Write value (hex)</t>
        </is>
      </c>
      <c r="E1" s="6" t="inlineStr">
        <is>
          <t>Comment</t>
        </is>
      </c>
    </row>
    <row r="2">
      <c r="A2" s="5" t="inlineStr">
        <is>
          <t>A. Status snapshot (reg_rt.tcl: reg_dump)</t>
        </is>
      </c>
    </row>
    <row r="3">
      <c r="A3" s="7" t="n">
        <v>1</v>
      </c>
      <c r="B3" s="7" t="inlineStr">
        <is>
          <t>status_snapshot (mem64)</t>
        </is>
      </c>
      <c r="C3" s="7">
        <f>"0x"&amp;DEC2HEX(HEX2DEC(Summary!$B$3)+256,8)</f>
        <v/>
      </c>
      <c r="D3" s="20" t="inlineStr">
        <is>
          <t>00000001</t>
        </is>
      </c>
      <c r="E3" s="7" t="inlineStr">
        <is>
          <t>latch all st_* of this channel</t>
        </is>
      </c>
    </row>
    <row r="4">
      <c r="A4" s="7" t="n">
        <v>2</v>
      </c>
      <c r="B4" s="7" t="inlineStr">
        <is>
          <t>status_snapshot (mem64)</t>
        </is>
      </c>
      <c r="C4" s="7">
        <f>"0x"&amp;DEC2HEX(HEX2DEC(Summary!$B$3)+256,8)</f>
        <v/>
      </c>
      <c r="D4" s="20" t="inlineStr">
        <is>
          <t>(read)</t>
        </is>
      </c>
      <c r="E4" s="7" t="inlineStr">
        <is>
          <t>count changed -&gt; snapshot done</t>
        </is>
      </c>
    </row>
    <row r="5">
      <c r="A5" s="7" t="n">
        <v>3</v>
      </c>
      <c r="B5" s="7" t="inlineStr">
        <is>
          <t>st_power_amp ~ st_adc_flags (mem65~70)</t>
        </is>
      </c>
      <c r="C5" s="7">
        <f>"0x"&amp;DEC2HEX(HEX2DEC(Summary!$B$3)+260,8)</f>
        <v/>
      </c>
      <c r="D5" s="20" t="inlineStr">
        <is>
          <t>(read)</t>
        </is>
      </c>
      <c r="E5" s="7" t="inlineStr">
        <is>
          <t>pf / goal / goal_rel / gain_index_tx: S?.4 sign-extended, /16 = dB</t>
        </is>
      </c>
    </row>
    <row r="6">
      <c r="A6" s="5" t="inlineStr">
        <is>
          <t>B. TX Manual with DAC reference (goal -6 dBFS measured at -25 dBm), target -40 dBm</t>
        </is>
      </c>
    </row>
    <row r="7">
      <c r="A7" s="7" t="n">
        <v>1</v>
      </c>
      <c r="B7" s="7" t="inlineStr">
        <is>
          <t>goal_ref_dbfs (mem26)</t>
        </is>
      </c>
      <c r="C7" s="7">
        <f>"0x"&amp;DEC2HEX(HEX2DEC(Summary!$B$3)+104,8)</f>
        <v/>
      </c>
      <c r="D7" s="20" t="inlineStr">
        <is>
          <t>000007A0</t>
        </is>
      </c>
      <c r="E7" s="7" t="inlineStr">
        <is>
          <t>-6.0 dBFS</t>
        </is>
      </c>
    </row>
    <row r="8">
      <c r="A8" s="7" t="n">
        <v>2</v>
      </c>
      <c r="B8" s="7" t="inlineStr">
        <is>
          <t>dac_output_ref_dbm (mem25)</t>
        </is>
      </c>
      <c r="C8" s="7">
        <f>"0x"&amp;DEC2HEX(HEX2DEC(Summary!$B$3)+100,8)</f>
        <v/>
      </c>
      <c r="D8" s="20" t="inlineStr">
        <is>
          <t>00000670</t>
        </is>
      </c>
      <c r="E8" s="7" t="inlineStr">
        <is>
          <t>-25 dBm (S6.4)</t>
        </is>
      </c>
    </row>
    <row r="9">
      <c r="A9" s="7" t="n">
        <v>3</v>
      </c>
      <c r="B9" s="7" t="inlineStr">
        <is>
          <t>agc_target_power (mem33)</t>
        </is>
      </c>
      <c r="C9" s="7">
        <f>"0x"&amp;DEC2HEX(HEX2DEC(Summary!$B$3)+132,8)</f>
        <v/>
      </c>
      <c r="D9" s="20" t="inlineStr">
        <is>
          <t>000000D8</t>
        </is>
      </c>
      <c r="E9" s="7" t="inlineStr">
        <is>
          <t>-40 dBm; agc_tx_power_mode (system sys4) = 1</t>
        </is>
      </c>
    </row>
    <row r="10">
      <c r="A10" s="5" t="inlineStr">
        <is>
          <t>C. Bypass</t>
        </is>
      </c>
    </row>
    <row r="11">
      <c r="A11" s="7" t="n">
        <v>1</v>
      </c>
      <c r="B11" s="7" t="inlineStr">
        <is>
          <t>agc_bypass_agc (mem28)</t>
        </is>
      </c>
      <c r="C11" s="7">
        <f>"0x"&amp;DEC2HEX(HEX2DEC(Summary!$B$3)+112,8)</f>
        <v/>
      </c>
      <c r="D11" s="20" t="inlineStr">
        <is>
          <t>00000001</t>
        </is>
      </c>
      <c r="E11" s="7" t="inlineStr">
        <is>
          <t>AGC paused</t>
        </is>
      </c>
    </row>
    <row r="12">
      <c r="A12" s="7" t="n">
        <v>2</v>
      </c>
      <c r="B12" s="7" t="inlineStr">
        <is>
          <t>agc_bypass_tx_att_state (mem29)</t>
        </is>
      </c>
      <c r="C12" s="7">
        <f>"0x"&amp;DEC2HEX(HEX2DEC(Summary!$B$3)+116,8)</f>
        <v/>
      </c>
      <c r="D12" s="20" t="inlineStr">
        <is>
          <t>00000016</t>
        </is>
      </c>
      <c r="E12" s="7" t="inlineStr">
        <is>
          <t>TX state 22 (25 dB)</t>
        </is>
      </c>
    </row>
    <row r="13">
      <c r="A13" s="7" t="n">
        <v>3</v>
      </c>
      <c r="B13" s="7" t="inlineStr">
        <is>
          <t>agc_bypass_sr_update (mem30)</t>
        </is>
      </c>
      <c r="C13" s="7">
        <f>"0x"&amp;DEC2HEX(HEX2DEC(Summary!$B$3)+120,8)</f>
        <v/>
      </c>
      <c r="D13" s="20" t="inlineStr">
        <is>
          <t>00000003</t>
        </is>
      </c>
      <c r="E13" s="7" t="inlineStr">
        <is>
          <t>rising edge: send Reg1~4 + Reg5</t>
        </is>
      </c>
    </row>
    <row r="14">
      <c r="A14" s="7" t="n">
        <v>4</v>
      </c>
      <c r="B14" s="7" t="inlineStr">
        <is>
          <t>agc_bypass_sr_update (mem30)</t>
        </is>
      </c>
      <c r="C14" s="7">
        <f>"0x"&amp;DEC2HEX(HEX2DEC(Summary!$B$3)+120,8)</f>
        <v/>
      </c>
      <c r="D14" s="20" t="inlineStr">
        <is>
          <t>00000000</t>
        </is>
      </c>
      <c r="E14" s="7" t="inlineStr">
        <is>
          <t>clear</t>
        </is>
      </c>
    </row>
    <row r="15">
      <c r="A15" s="7" t="n">
        <v>5</v>
      </c>
      <c r="B15" s="7" t="inlineStr">
        <is>
          <t>agc_bypass_agc (mem28)</t>
        </is>
      </c>
      <c r="C15" s="7">
        <f>"0x"&amp;DEC2HEX(HEX2DEC(Summary!$B$3)+112,8)</f>
        <v/>
      </c>
      <c r="D15" s="20" t="inlineStr">
        <is>
          <t>00000000</t>
        </is>
      </c>
      <c r="E15" s="7" t="inlineStr">
        <is>
          <t>back to AGC</t>
        </is>
      </c>
    </row>
    <row r="16">
      <c r="A16" s="5" t="inlineStr">
        <is>
          <t>D. Manual TX 48 dB</t>
        </is>
      </c>
    </row>
    <row r="17">
      <c r="A17" s="7" t="n">
        <v>1</v>
      </c>
      <c r="B17" s="7" t="inlineStr">
        <is>
          <t>agc_manual_tx_att_db (mem32)</t>
        </is>
      </c>
      <c r="C17" s="7">
        <f>"0x"&amp;DEC2HEX(HEX2DEC(Summary!$B$3)+128,8)</f>
        <v/>
      </c>
      <c r="D17" s="20" t="inlineStr">
        <is>
          <t>00000030</t>
        </is>
      </c>
      <c r="E17" s="7" t="inlineStr">
        <is>
          <t>48 dB -&gt; analog 45 dB + digital 3 dB</t>
        </is>
      </c>
    </row>
    <row r="18">
      <c r="A18" s="7" t="n">
        <v>2</v>
      </c>
      <c r="B18" s="7" t="inlineStr">
        <is>
          <t>agc_manual_tx_att_en (mem31)</t>
        </is>
      </c>
      <c r="C18" s="7">
        <f>"0x"&amp;DEC2HEX(HEX2DEC(Summary!$B$3)+124,8)</f>
        <v/>
      </c>
      <c r="D18" s="20" t="inlineStr">
        <is>
          <t>00000001</t>
        </is>
      </c>
      <c r="E18" s="7" t="inlineStr"/>
    </row>
    <row r="19">
      <c r="A19" s="5" t="inlineStr">
        <is>
          <t>E. Debug: send the input directly to the DAC</t>
        </is>
      </c>
    </row>
    <row r="20">
      <c r="A20" s="7" t="n">
        <v>1</v>
      </c>
      <c r="B20" s="7" t="inlineStr">
        <is>
          <t>bypass_axis_iq (mem38)</t>
        </is>
      </c>
      <c r="C20" s="7">
        <f>"0x"&amp;DEC2HEX(HEX2DEC(Summary!$B$3)+152,8)</f>
        <v/>
      </c>
      <c r="D20" s="20" t="inlineStr">
        <is>
          <t>00000001</t>
        </is>
      </c>
      <c r="E20" s="7" t="inlineStr">
        <is>
          <t>m_axis_iq = mux output (no FIR / calibration / gain)</t>
        </is>
      </c>
    </row>
    <row r="21">
      <c r="A21" s="7" t="n">
        <v>2</v>
      </c>
      <c r="B21" s="7" t="inlineStr">
        <is>
          <t>bypass_axis_iq (mem38)</t>
        </is>
      </c>
      <c r="C21" s="7">
        <f>"0x"&amp;DEC2HEX(HEX2DEC(Summary!$B$3)+152,8)</f>
        <v/>
      </c>
      <c r="D21" s="20" t="inlineStr">
        <is>
          <t>00000000</t>
        </is>
      </c>
      <c r="E21" s="7" t="inlineStr">
        <is>
          <t>back to the normal path</t>
        </is>
      </c>
    </row>
    <row r="22">
      <c r="A22" s="5" t="inlineStr">
        <is>
          <t>F. Signal source</t>
        </is>
      </c>
    </row>
    <row r="23">
      <c r="A23" s="7" t="n">
        <v>1</v>
      </c>
      <c r="B23" s="7" t="inlineStr">
        <is>
          <t>signal_source_select (mem39)</t>
        </is>
      </c>
      <c r="C23" s="7">
        <f>"0x"&amp;DEC2HEX(HEX2DEC(Summary!$B$3)+156,8)</f>
        <v/>
      </c>
      <c r="D23" s="20" t="inlineStr">
        <is>
          <t>00000001</t>
        </is>
      </c>
      <c r="E23" s="7" t="inlineStr">
        <is>
          <t>Power Fit / Calibration use s_axis_iq_in_1</t>
        </is>
      </c>
    </row>
    <row r="24">
      <c r="A24" s="7" t="n">
        <v>2</v>
      </c>
      <c r="B24" s="7" t="inlineStr">
        <is>
          <t>signal_source_select (mem39)</t>
        </is>
      </c>
      <c r="C24" s="7">
        <f>"0x"&amp;DEC2HEX(HEX2DEC(Summary!$B$3)+156,8)</f>
        <v/>
      </c>
      <c r="D24" s="20" t="inlineStr">
        <is>
          <t>00000000</t>
        </is>
      </c>
      <c r="E24" s="7" t="inlineStr">
        <is>
          <t>back to s_axis_iq_in_0</t>
        </is>
      </c>
    </row>
    <row r="25">
      <c r="A25" s="5" t="inlineStr">
        <is>
          <t>G. Debug_008: all_zero to the DAC</t>
        </is>
      </c>
    </row>
    <row r="26">
      <c r="A26" s="7" t="n">
        <v>1</v>
      </c>
      <c r="B26" s="7" t="inlineStr">
        <is>
          <t>signal_source_select (mem39)</t>
        </is>
      </c>
      <c r="C26" s="7">
        <f>"0x"&amp;DEC2HEX(HEX2DEC(Summary!$B$3)+156,8)</f>
        <v/>
      </c>
      <c r="D26" s="20" t="inlineStr">
        <is>
          <t>00000002</t>
        </is>
      </c>
      <c r="E26" s="7" t="inlineStr">
        <is>
          <t>all_zero (160'd0, tvalid = 1)</t>
        </is>
      </c>
    </row>
    <row r="27">
      <c r="A27" s="7" t="n">
        <v>2</v>
      </c>
      <c r="B27" s="7" t="inlineStr">
        <is>
          <t>bypass_axis_iq (mem38)</t>
        </is>
      </c>
      <c r="C27" s="7">
        <f>"0x"&amp;DEC2HEX(HEX2DEC(Summary!$B$3)+152,8)</f>
        <v/>
      </c>
      <c r="D27" s="20" t="inlineStr">
        <is>
          <t>00000001</t>
        </is>
      </c>
      <c r="E27" s="7" t="inlineStr">
        <is>
          <t>DAC receives all zeros directly (0 = through FIR / cal / gain)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2026-10-19T11:44:33Z</dcterms:created>
  <dcterms:modified xmlns:dcterms="http://purl.org/dc/terms/" xmlns:xsi="http://www.w3.org/2001/XMLSchema-instance" xsi:type="dcterms:W3CDTF">2026-10-19T11:44:33Z</dcterms:modified>
</cp:coreProperties>
</file>